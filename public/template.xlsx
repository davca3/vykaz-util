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david/Git/work/vykaz-util/public/"/>
    </mc:Choice>
  </mc:AlternateContent>
  <xr:revisionPtr revIDLastSave="0" documentId="13_ncr:1_{2C25D03B-EF7D-304D-8986-48329C408942}" xr6:coauthVersionLast="47" xr6:coauthVersionMax="47" xr10:uidLastSave="{00000000-0000-0000-0000-000000000000}"/>
  <bookViews>
    <workbookView xWindow="0" yWindow="600" windowWidth="36020" windowHeight="24580" xr2:uid="{00000000-000D-0000-FFFF-FFFF00000000}"/>
  </bookViews>
  <sheets>
    <sheet name="evid.P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8" i="1" l="1" a="1"/>
  <c r="G38" i="1" s="1"/>
  <c r="G9" i="1" a="1"/>
  <c r="G9" i="1"/>
  <c r="G10" i="1" a="1"/>
  <c r="G10" i="1"/>
  <c r="G11" i="1" a="1"/>
  <c r="G11" i="1" s="1"/>
  <c r="G12" i="1" a="1"/>
  <c r="G12" i="1"/>
  <c r="G13" i="1" a="1"/>
  <c r="G13" i="1" s="1"/>
  <c r="G14" i="1" a="1"/>
  <c r="G14" i="1"/>
  <c r="G15" i="1" a="1"/>
  <c r="G15" i="1"/>
  <c r="G16" i="1" a="1"/>
  <c r="G16" i="1"/>
  <c r="G17" i="1" a="1"/>
  <c r="G17" i="1"/>
  <c r="G18" i="1" a="1"/>
  <c r="G18" i="1"/>
  <c r="G19" i="1" a="1"/>
  <c r="G19" i="1"/>
  <c r="G20" i="1" a="1"/>
  <c r="G20" i="1" s="1"/>
  <c r="G21" i="1" a="1"/>
  <c r="G21" i="1"/>
  <c r="G22" i="1" a="1"/>
  <c r="G22" i="1"/>
  <c r="G23" i="1" a="1"/>
  <c r="G23" i="1"/>
  <c r="G24" i="1" a="1"/>
  <c r="G24" i="1"/>
  <c r="G25" i="1" a="1"/>
  <c r="G25" i="1"/>
  <c r="G26" i="1" a="1"/>
  <c r="G26" i="1"/>
  <c r="G27" i="1" a="1"/>
  <c r="G27" i="1"/>
  <c r="G28" i="1" a="1"/>
  <c r="G28" i="1"/>
  <c r="G29" i="1" a="1"/>
  <c r="G29" i="1"/>
  <c r="G30" i="1" a="1"/>
  <c r="G30" i="1"/>
  <c r="G31" i="1" a="1"/>
  <c r="G31" i="1"/>
  <c r="G32" i="1" a="1"/>
  <c r="G32" i="1"/>
  <c r="G33" i="1" a="1"/>
  <c r="G33" i="1"/>
  <c r="G34" i="1" a="1"/>
  <c r="G34" i="1"/>
  <c r="G35" i="1" a="1"/>
  <c r="G35" i="1"/>
  <c r="G36" i="1" a="1"/>
  <c r="G36" i="1"/>
  <c r="G37" i="1" a="1"/>
  <c r="G37" i="1"/>
  <c r="E10" i="1" a="1"/>
  <c r="E10" i="1" s="1"/>
  <c r="E11" i="1" a="1"/>
  <c r="E11" i="1" s="1"/>
  <c r="E12" i="1" a="1"/>
  <c r="E12" i="1"/>
  <c r="E13" i="1" a="1"/>
  <c r="E13" i="1"/>
  <c r="E14" i="1" a="1"/>
  <c r="E14" i="1"/>
  <c r="E15" i="1" a="1"/>
  <c r="E15" i="1" s="1"/>
  <c r="E16" i="1" a="1"/>
  <c r="E16" i="1"/>
  <c r="E17" i="1" a="1"/>
  <c r="E17" i="1"/>
  <c r="E18" i="1" a="1"/>
  <c r="E18" i="1"/>
  <c r="E19" i="1" a="1"/>
  <c r="E19" i="1"/>
  <c r="E20" i="1" a="1"/>
  <c r="E20" i="1" s="1"/>
  <c r="E21" i="1" a="1"/>
  <c r="E21" i="1"/>
  <c r="E22" i="1" a="1"/>
  <c r="E22" i="1"/>
  <c r="E23" i="1" a="1"/>
  <c r="E23" i="1"/>
  <c r="E24" i="1" a="1"/>
  <c r="E24" i="1"/>
  <c r="E25" i="1" a="1"/>
  <c r="E25" i="1" s="1"/>
  <c r="E26" i="1" a="1"/>
  <c r="E26" i="1"/>
  <c r="E27" i="1" a="1"/>
  <c r="E27" i="1"/>
  <c r="E28" i="1" a="1"/>
  <c r="E28" i="1"/>
  <c r="E29" i="1" a="1"/>
  <c r="E29" i="1"/>
  <c r="E30" i="1" a="1"/>
  <c r="E30" i="1" s="1"/>
  <c r="E31" i="1" a="1"/>
  <c r="E31" i="1"/>
  <c r="E32" i="1" a="1"/>
  <c r="E32" i="1"/>
  <c r="E33" i="1" a="1"/>
  <c r="E33" i="1"/>
  <c r="E34" i="1" a="1"/>
  <c r="E34" i="1"/>
  <c r="E35" i="1" a="1"/>
  <c r="E35" i="1" s="1"/>
  <c r="E36" i="1" a="1"/>
  <c r="E36" i="1"/>
  <c r="E37" i="1" a="1"/>
  <c r="E37" i="1"/>
  <c r="E38" i="1" a="1"/>
  <c r="E38" i="1" s="1"/>
  <c r="E9" i="1" a="1"/>
  <c r="E9" i="1" s="1"/>
  <c r="N55" i="1" a="1"/>
  <c r="N55" i="1" s="1"/>
  <c r="N56" i="1" s="1" a="1"/>
  <c r="N56" i="1" s="1"/>
  <c r="O54" i="1" a="1"/>
  <c r="O54" i="1" s="1"/>
  <c r="K54" i="1" a="1"/>
  <c r="K54" i="1" s="1"/>
  <c r="O55" i="1" s="1" a="1"/>
  <c r="O55" i="1" s="1"/>
  <c r="J53" i="1" a="1"/>
  <c r="J53" i="1" s="1"/>
  <c r="K53" i="1" s="1" a="1"/>
  <c r="K53" i="1" s="1"/>
  <c r="J48" i="1" a="1"/>
  <c r="J48" i="1" s="1"/>
  <c r="J51" i="1" s="1" a="1"/>
  <c r="J51" i="1" s="1"/>
  <c r="L39" i="1" a="1"/>
  <c r="L39" i="1" s="1"/>
  <c r="K39" i="1" a="1"/>
  <c r="K39" i="1" s="1"/>
  <c r="I39" i="1" a="1"/>
  <c r="I39" i="1" s="1"/>
  <c r="K49" i="1" s="1" a="1"/>
  <c r="K49" i="1" s="1"/>
  <c r="K62" i="1" s="1" a="1"/>
  <c r="K62" i="1" s="1"/>
  <c r="H39" i="1" a="1"/>
  <c r="H39" i="1" s="1"/>
  <c r="J38" i="1" a="1"/>
  <c r="J38" i="1" s="1"/>
  <c r="J37" i="1" a="1"/>
  <c r="J37" i="1" s="1"/>
  <c r="J36" i="1" a="1"/>
  <c r="J36" i="1" s="1"/>
  <c r="J35" i="1" a="1"/>
  <c r="J35" i="1" s="1"/>
  <c r="J34" i="1" a="1"/>
  <c r="J34" i="1" s="1"/>
  <c r="J33" i="1" a="1"/>
  <c r="J33" i="1" s="1"/>
  <c r="J32" i="1" a="1"/>
  <c r="J32" i="1" s="1"/>
  <c r="J31" i="1" a="1"/>
  <c r="J31" i="1" s="1"/>
  <c r="J30" i="1" a="1"/>
  <c r="J30" i="1" s="1"/>
  <c r="J29" i="1" a="1"/>
  <c r="J29" i="1" s="1"/>
  <c r="J28" i="1" a="1"/>
  <c r="J28" i="1" s="1"/>
  <c r="J27" i="1" a="1"/>
  <c r="J27" i="1" s="1"/>
  <c r="J26" i="1" a="1"/>
  <c r="J26" i="1" s="1"/>
  <c r="J25" i="1" a="1"/>
  <c r="J25" i="1" s="1"/>
  <c r="J24" i="1" a="1"/>
  <c r="J24" i="1" s="1"/>
  <c r="J23" i="1" a="1"/>
  <c r="J23" i="1" s="1"/>
  <c r="J22" i="1" a="1"/>
  <c r="J22" i="1" s="1"/>
  <c r="J21" i="1" a="1"/>
  <c r="J21" i="1" s="1"/>
  <c r="J20" i="1" a="1"/>
  <c r="J20" i="1" s="1"/>
  <c r="J19" i="1" a="1"/>
  <c r="J19" i="1" s="1"/>
  <c r="J18" i="1" a="1"/>
  <c r="J18" i="1" s="1"/>
  <c r="J17" i="1" a="1"/>
  <c r="J17" i="1" s="1"/>
  <c r="J16" i="1" a="1"/>
  <c r="J16" i="1" s="1"/>
  <c r="J15" i="1" a="1"/>
  <c r="J15" i="1" s="1"/>
  <c r="J14" i="1" a="1"/>
  <c r="J14" i="1" s="1"/>
  <c r="J13" i="1" a="1"/>
  <c r="J13" i="1" s="1"/>
  <c r="J12" i="1" a="1"/>
  <c r="J12" i="1" s="1"/>
  <c r="J11" i="1" a="1"/>
  <c r="J11" i="1" s="1"/>
  <c r="J10" i="1" a="1"/>
  <c r="J10" i="1" s="1"/>
  <c r="J9" i="1" a="1"/>
  <c r="J9" i="1" s="1"/>
  <c r="J8" i="1" a="1"/>
  <c r="J8" i="1" s="1"/>
  <c r="G8" i="1" a="1"/>
  <c r="G8" i="1" s="1"/>
  <c r="E8" i="1" a="1"/>
  <c r="E8" i="1" s="1"/>
  <c r="L3" i="1" a="1"/>
  <c r="L3" i="1" s="1"/>
  <c r="O56" i="1" l="1" a="1"/>
  <c r="O56" i="1" s="1"/>
  <c r="J58" i="1" a="1"/>
  <c r="J58" i="1" s="1"/>
  <c r="K50" i="1" a="1"/>
  <c r="K50" i="1" s="1"/>
  <c r="K44" i="1" a="1"/>
  <c r="K44" i="1" s="1"/>
  <c r="K45" i="1" a="1"/>
  <c r="K45" i="1" s="1"/>
  <c r="J39" i="1" a="1"/>
  <c r="J39" i="1" s="1"/>
  <c r="K43" i="1" s="1" a="1"/>
  <c r="K43" i="1" s="1"/>
  <c r="K63" i="1" s="1" a="1"/>
  <c r="K63" i="1" s="1"/>
  <c r="K64" i="1" s="1" a="1"/>
  <c r="K64" i="1" s="1"/>
  <c r="K42" i="1" l="1" a="1"/>
  <c r="K42" i="1" s="1"/>
  <c r="K48" i="1" s="1" a="1"/>
  <c r="K48" i="1" s="1"/>
  <c r="K51" i="1" s="1" a="1"/>
  <c r="K51" i="1" s="1"/>
  <c r="K58" i="1" s="1" a="1"/>
  <c r="K58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<sst xmlns="http://schemas.openxmlformats.org/spreadsheetml/2006/main" count="152" uniqueCount="70">
  <si>
    <t>EVIDENCE PRACOVNÍ DOBY</t>
  </si>
  <si>
    <t>Příjmení a jméno: Třetina David</t>
  </si>
  <si>
    <t>Číslo zaměstnance: 11</t>
  </si>
  <si>
    <t>Úvazek x hod</t>
  </si>
  <si>
    <t>Pracovní přestávka 12,00-12,30</t>
  </si>
  <si>
    <t>Den</t>
  </si>
  <si>
    <t>Pracováno</t>
  </si>
  <si>
    <t>Prac.přestávka</t>
  </si>
  <si>
    <t>Celkem</t>
  </si>
  <si>
    <t>Čerpání NV</t>
  </si>
  <si>
    <t>Přesčas.hod.</t>
  </si>
  <si>
    <t xml:space="preserve">Propustky </t>
  </si>
  <si>
    <t xml:space="preserve">Přerušení </t>
  </si>
  <si>
    <t xml:space="preserve">Důvod přerušení </t>
  </si>
  <si>
    <t>odprac.</t>
  </si>
  <si>
    <t>hod.(-)</t>
  </si>
  <si>
    <t>v tomto měs.</t>
  </si>
  <si>
    <t>hod.</t>
  </si>
  <si>
    <t>prac.doby</t>
  </si>
  <si>
    <t>vč.přesč.</t>
  </si>
  <si>
    <t>z min.měs.</t>
  </si>
  <si>
    <t xml:space="preserve">na NV do </t>
  </si>
  <si>
    <t>od-do</t>
  </si>
  <si>
    <t>k proplac.</t>
  </si>
  <si>
    <t xml:space="preserve"> dalš.měsíců</t>
  </si>
  <si>
    <t>lékař,krev...</t>
  </si>
  <si>
    <t>(služ.cesta,lékař..)</t>
  </si>
  <si>
    <t>-</t>
  </si>
  <si>
    <t>Celkem odpracováno</t>
  </si>
  <si>
    <t>x</t>
  </si>
  <si>
    <t>Opracováno v tomto měsíci:</t>
  </si>
  <si>
    <t>Odpracované hodiny bez přesčasů</t>
  </si>
  <si>
    <t>Sv-svátek</t>
  </si>
  <si>
    <t>Odpracované přesčas.hod. v tomto měsíci na NV do dalších měs.</t>
  </si>
  <si>
    <t>D-dovolená</t>
  </si>
  <si>
    <t>Odpracované přesčas.hod.v tomto měsíci k proplacení</t>
  </si>
  <si>
    <t>N-nemocenská</t>
  </si>
  <si>
    <t>Celkem odpracováno v tomto měsíci</t>
  </si>
  <si>
    <t>Oš-ošetřování člena rodiny</t>
  </si>
  <si>
    <t>NV-náhradní volno celý den</t>
  </si>
  <si>
    <t>Hodiny k proplacení:</t>
  </si>
  <si>
    <t>od - do</t>
  </si>
  <si>
    <t>dny</t>
  </si>
  <si>
    <t>P-překážky v práci</t>
  </si>
  <si>
    <t xml:space="preserve">Odprac.hod.vtomto měs.bez přesč.a bez hod na NV k propl.   </t>
  </si>
  <si>
    <t xml:space="preserve">     (lékař, dárcovství krve,svatba…)</t>
  </si>
  <si>
    <t>Čerpání NV hod. k proplacení z min.měsíců</t>
  </si>
  <si>
    <t>M-peněž.pomoc v mateřství</t>
  </si>
  <si>
    <t>Přesčas.hodiny odprac. v tomto měsíci k proplac.</t>
  </si>
  <si>
    <t>RD-rodičovská dovolená</t>
  </si>
  <si>
    <t>CELKEM odprac.hod. k proplacení</t>
  </si>
  <si>
    <t>NP-neplacené volno</t>
  </si>
  <si>
    <t>P - Propustky(lékař. dárc.krve,svatba..)</t>
  </si>
  <si>
    <t>D - Dovolená od-do</t>
  </si>
  <si>
    <t>FPD</t>
  </si>
  <si>
    <t>Dny</t>
  </si>
  <si>
    <t>Hod</t>
  </si>
  <si>
    <t xml:space="preserve">SV - Svátky </t>
  </si>
  <si>
    <t>Prac.dny</t>
  </si>
  <si>
    <t>N - Nemoc od-do</t>
  </si>
  <si>
    <t>Svátky</t>
  </si>
  <si>
    <t>Oš-Ošetřovné od-do</t>
  </si>
  <si>
    <t>NP-nepl.volno od-do</t>
  </si>
  <si>
    <t>NV - Náhradní volno:</t>
  </si>
  <si>
    <t>Zůstatek hod.NV z min.měsíců(+)</t>
  </si>
  <si>
    <t>Čerpání hod.NV k proplacení z min.měsíců(-)</t>
  </si>
  <si>
    <t>Přesčas. hod.odprac.v tomto měsíci na NV do dalších měsíců(+)</t>
  </si>
  <si>
    <t>……………………………………………………………</t>
  </si>
  <si>
    <t>Zůstatek hod. NV do dalších měsíců(+)</t>
  </si>
  <si>
    <t xml:space="preserve">         Podpis zaměstnance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</si>
</sst>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indexed="8"/>
      <name val="Calibri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color indexed="8"/>
      <name val="Calibri"/>
      <family val="2"/>
    </font>
    <font>
      <sz val="8"/>
      <color indexed="8"/>
      <name val="Calibri"/>
      <family val="2"/>
    </font>
    <font>
      <sz val="7"/>
      <color indexed="8"/>
      <name val="Calibri"/>
      <family val="2"/>
    </font>
    <font>
      <sz val="6"/>
      <color indexed="8"/>
      <name val="Calibri"/>
      <family val="2"/>
    </font>
    <font>
      <sz val="5"/>
      <color indexed="8"/>
      <name val="Calibri"/>
      <family val="2"/>
    </font>
    <font>
      <b/>
      <sz val="8"/>
      <color indexed="8"/>
      <name val="Calibri"/>
      <family val="2"/>
    </font>
    <font>
      <b/>
      <sz val="9"/>
      <color indexed="8"/>
      <name val="Calibri"/>
      <family val="2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11"/>
        <bgColor auto="1"/>
      </patternFill>
    </fill>
  </fills>
  <borders count="8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9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medium">
        <color indexed="8"/>
      </right>
      <top style="thin">
        <color indexed="9"/>
      </top>
      <bottom style="thin">
        <color indexed="9"/>
      </bottom>
      <diagonal/>
    </border>
    <border>
      <left style="medium">
        <color indexed="8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/>
      <top style="thin">
        <color indexed="9"/>
      </top>
      <bottom style="thin">
        <color indexed="9"/>
      </bottom>
      <diagonal/>
    </border>
    <border>
      <left/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medium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9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medium">
        <color indexed="8"/>
      </right>
      <top style="thin">
        <color indexed="8"/>
      </top>
      <bottom style="thin">
        <color indexed="9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medium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/>
      <top style="thin">
        <color indexed="8"/>
      </top>
      <bottom style="thin">
        <color indexed="9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/>
      <right/>
      <top style="medium">
        <color indexed="8"/>
      </top>
      <bottom style="thin">
        <color indexed="8"/>
      </bottom>
      <diagonal/>
    </border>
    <border>
      <left/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 style="medium">
        <color indexed="8"/>
      </bottom>
      <diagonal/>
    </border>
    <border>
      <left/>
      <right/>
      <top style="thin">
        <color indexed="8"/>
      </top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9"/>
      </left>
      <right/>
      <top style="medium">
        <color indexed="8"/>
      </top>
      <bottom style="thin">
        <color indexed="9"/>
      </bottom>
      <diagonal/>
    </border>
    <border>
      <left/>
      <right/>
      <top style="medium">
        <color indexed="8"/>
      </top>
      <bottom/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9"/>
      </right>
      <top style="thin">
        <color indexed="8"/>
      </top>
      <bottom style="medium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medium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9"/>
      </left>
      <right style="thin">
        <color indexed="9"/>
      </right>
      <top style="medium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indexed="8"/>
      </bottom>
      <diagonal/>
    </border>
    <border>
      <left style="medium">
        <color indexed="8"/>
      </left>
      <right style="thin">
        <color indexed="9"/>
      </right>
      <top style="medium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medium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8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 applyNumberFormat="0" applyFill="0" applyBorder="0" applyProtection="0"/>
  </cellStyleXfs>
  <cellXfs count="188">
    <xf numFmtId="0" fontId="0" fillId="0" borderId="0" xfId="0"/>
    <xf numFmtId="0" fontId="0" fillId="0" borderId="0" xfId="0" applyNumberFormat="1"/>
    <xf numFmtId="0" fontId="0" fillId="0" borderId="1" xfId="0" applyBorder="1"/>
    <xf numFmtId="49" fontId="1" fillId="0" borderId="1" xfId="0" applyNumberFormat="1" applyFont="1" applyBorder="1"/>
    <xf numFmtId="0" fontId="2" fillId="0" borderId="1" xfId="0" applyNumberFormat="1" applyFont="1" applyBorder="1"/>
    <xf numFmtId="0" fontId="0" fillId="0" borderId="1" xfId="0" applyBorder="1" applyAlignment="1">
      <alignment horizontal="center"/>
    </xf>
    <xf numFmtId="0" fontId="2" fillId="0" borderId="1" xfId="0" applyFont="1" applyBorder="1"/>
    <xf numFmtId="0" fontId="0" fillId="0" borderId="2" xfId="0" applyBorder="1"/>
    <xf numFmtId="0" fontId="3" fillId="0" borderId="2" xfId="0" applyFont="1" applyBorder="1"/>
    <xf numFmtId="49" fontId="4" fillId="0" borderId="3" xfId="0" applyNumberFormat="1" applyFont="1" applyBorder="1"/>
    <xf numFmtId="49" fontId="4" fillId="0" borderId="3" xfId="0" applyNumberFormat="1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49" fontId="5" fillId="0" borderId="3" xfId="0" applyNumberFormat="1" applyFont="1" applyBorder="1"/>
    <xf numFmtId="49" fontId="6" fillId="0" borderId="3" xfId="0" applyNumberFormat="1" applyFont="1" applyBorder="1"/>
    <xf numFmtId="49" fontId="5" fillId="0" borderId="4" xfId="0" applyNumberFormat="1" applyFont="1" applyBorder="1"/>
    <xf numFmtId="49" fontId="4" fillId="0" borderId="5" xfId="0" applyNumberFormat="1" applyFont="1" applyBorder="1"/>
    <xf numFmtId="0" fontId="4" fillId="0" borderId="3" xfId="0" applyFont="1" applyBorder="1"/>
    <xf numFmtId="0" fontId="0" fillId="0" borderId="6" xfId="0" applyBorder="1"/>
    <xf numFmtId="0" fontId="4" fillId="0" borderId="7" xfId="0" applyFont="1" applyBorder="1"/>
    <xf numFmtId="49" fontId="4" fillId="0" borderId="7" xfId="0" applyNumberFormat="1" applyFont="1" applyBorder="1"/>
    <xf numFmtId="49" fontId="5" fillId="0" borderId="7" xfId="0" applyNumberFormat="1" applyFont="1" applyBorder="1"/>
    <xf numFmtId="49" fontId="6" fillId="0" borderId="7" xfId="0" applyNumberFormat="1" applyFont="1" applyBorder="1"/>
    <xf numFmtId="49" fontId="6" fillId="0" borderId="8" xfId="0" applyNumberFormat="1" applyFont="1" applyBorder="1"/>
    <xf numFmtId="49" fontId="4" fillId="0" borderId="9" xfId="0" applyNumberFormat="1" applyFont="1" applyBorder="1"/>
    <xf numFmtId="49" fontId="4" fillId="0" borderId="10" xfId="0" applyNumberFormat="1" applyFont="1" applyBorder="1"/>
    <xf numFmtId="0" fontId="4" fillId="0" borderId="11" xfId="0" applyFont="1" applyBorder="1"/>
    <xf numFmtId="0" fontId="4" fillId="0" borderId="9" xfId="0" applyFont="1" applyBorder="1"/>
    <xf numFmtId="0" fontId="4" fillId="0" borderId="10" xfId="0" applyFont="1" applyBorder="1"/>
    <xf numFmtId="0" fontId="4" fillId="0" borderId="13" xfId="0" applyFont="1" applyBorder="1"/>
    <xf numFmtId="49" fontId="4" fillId="0" borderId="13" xfId="0" applyNumberFormat="1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49" fontId="4" fillId="0" borderId="13" xfId="0" applyNumberFormat="1" applyFont="1" applyBorder="1"/>
    <xf numFmtId="49" fontId="5" fillId="0" borderId="13" xfId="0" applyNumberFormat="1" applyFont="1" applyBorder="1"/>
    <xf numFmtId="49" fontId="6" fillId="0" borderId="13" xfId="0" applyNumberFormat="1" applyFont="1" applyBorder="1"/>
    <xf numFmtId="49" fontId="6" fillId="0" borderId="14" xfId="0" applyNumberFormat="1" applyFont="1" applyBorder="1"/>
    <xf numFmtId="49" fontId="4" fillId="0" borderId="15" xfId="0" applyNumberFormat="1" applyFont="1" applyBorder="1"/>
    <xf numFmtId="0" fontId="0" fillId="0" borderId="16" xfId="0" applyNumberFormat="1" applyBorder="1"/>
    <xf numFmtId="14" fontId="0" fillId="0" borderId="17" xfId="0" applyNumberFormat="1" applyBorder="1" applyAlignment="1">
      <alignment horizontal="right"/>
    </xf>
    <xf numFmtId="14" fontId="0" fillId="0" borderId="19" xfId="0" applyNumberFormat="1" applyBorder="1" applyAlignment="1">
      <alignment horizontal="left"/>
    </xf>
    <xf numFmtId="0" fontId="0" fillId="0" borderId="17" xfId="0" applyBorder="1" applyAlignment="1">
      <alignment horizontal="right"/>
    </xf>
    <xf numFmtId="49" fontId="0" fillId="0" borderId="18" xfId="0" applyNumberFormat="1" applyBorder="1" applyAlignment="1">
      <alignment horizontal="center"/>
    </xf>
    <xf numFmtId="0" fontId="0" fillId="0" borderId="19" xfId="0" applyBorder="1" applyAlignment="1">
      <alignment horizontal="left"/>
    </xf>
    <xf numFmtId="0" fontId="0" fillId="0" borderId="16" xfId="0" applyNumberFormat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NumberFormat="1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6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" xfId="0" applyNumberForma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0" fillId="0" borderId="26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7" xfId="0" applyBorder="1" applyAlignment="1">
      <alignment horizontal="center"/>
    </xf>
    <xf numFmtId="49" fontId="3" fillId="2" borderId="28" xfId="0" applyNumberFormat="1" applyFont="1" applyFill="1" applyBorder="1"/>
    <xf numFmtId="0" fontId="0" fillId="0" borderId="29" xfId="0" applyBorder="1"/>
    <xf numFmtId="49" fontId="0" fillId="0" borderId="16" xfId="0" applyNumberFormat="1" applyBorder="1" applyAlignment="1">
      <alignment horizontal="center"/>
    </xf>
    <xf numFmtId="0" fontId="0" fillId="0" borderId="31" xfId="0" applyBorder="1"/>
    <xf numFmtId="0" fontId="0" fillId="0" borderId="32" xfId="0" applyBorder="1"/>
    <xf numFmtId="0" fontId="0" fillId="0" borderId="33" xfId="0" applyBorder="1"/>
    <xf numFmtId="0" fontId="0" fillId="0" borderId="21" xfId="0" applyBorder="1"/>
    <xf numFmtId="49" fontId="8" fillId="0" borderId="34" xfId="0" applyNumberFormat="1" applyFont="1" applyBorder="1"/>
    <xf numFmtId="0" fontId="0" fillId="0" borderId="35" xfId="0" applyBorder="1"/>
    <xf numFmtId="49" fontId="3" fillId="0" borderId="35" xfId="0" applyNumberFormat="1" applyFont="1" applyBorder="1" applyAlignment="1">
      <alignment horizontal="center"/>
    </xf>
    <xf numFmtId="0" fontId="0" fillId="0" borderId="36" xfId="0" applyBorder="1"/>
    <xf numFmtId="49" fontId="4" fillId="0" borderId="37" xfId="0" applyNumberFormat="1" applyFont="1" applyBorder="1"/>
    <xf numFmtId="0" fontId="4" fillId="0" borderId="38" xfId="0" applyFont="1" applyBorder="1"/>
    <xf numFmtId="0" fontId="4" fillId="0" borderId="38" xfId="0" applyFont="1" applyBorder="1" applyAlignment="1">
      <alignment horizontal="center"/>
    </xf>
    <xf numFmtId="0" fontId="4" fillId="0" borderId="39" xfId="0" applyFont="1" applyBorder="1" applyAlignment="1">
      <alignment horizontal="center"/>
    </xf>
    <xf numFmtId="0" fontId="0" fillId="0" borderId="40" xfId="0" applyNumberFormat="1" applyBorder="1" applyAlignment="1">
      <alignment horizontal="center"/>
    </xf>
    <xf numFmtId="0" fontId="0" fillId="0" borderId="41" xfId="0" applyBorder="1"/>
    <xf numFmtId="49" fontId="3" fillId="0" borderId="1" xfId="0" applyNumberFormat="1" applyFont="1" applyBorder="1"/>
    <xf numFmtId="49" fontId="4" fillId="0" borderId="42" xfId="0" applyNumberFormat="1" applyFont="1" applyBorder="1"/>
    <xf numFmtId="0" fontId="4" fillId="0" borderId="29" xfId="0" applyFont="1" applyBorder="1"/>
    <xf numFmtId="0" fontId="4" fillId="0" borderId="29" xfId="0" applyFont="1" applyBorder="1" applyAlignment="1">
      <alignment horizontal="center"/>
    </xf>
    <xf numFmtId="0" fontId="4" fillId="0" borderId="30" xfId="0" applyFont="1" applyBorder="1" applyAlignment="1">
      <alignment horizontal="center"/>
    </xf>
    <xf numFmtId="0" fontId="0" fillId="0" borderId="43" xfId="0" applyNumberFormat="1" applyBorder="1" applyAlignment="1">
      <alignment horizontal="center"/>
    </xf>
    <xf numFmtId="49" fontId="4" fillId="0" borderId="44" xfId="0" applyNumberFormat="1" applyFont="1" applyBorder="1"/>
    <xf numFmtId="0" fontId="4" fillId="0" borderId="45" xfId="0" applyFont="1" applyBorder="1"/>
    <xf numFmtId="0" fontId="4" fillId="0" borderId="45" xfId="0" applyFont="1" applyBorder="1" applyAlignment="1">
      <alignment horizontal="center"/>
    </xf>
    <xf numFmtId="0" fontId="4" fillId="0" borderId="46" xfId="0" applyFont="1" applyBorder="1" applyAlignment="1">
      <alignment horizontal="center"/>
    </xf>
    <xf numFmtId="0" fontId="0" fillId="0" borderId="47" xfId="0" applyNumberFormat="1" applyBorder="1" applyAlignment="1">
      <alignment horizontal="center"/>
    </xf>
    <xf numFmtId="49" fontId="4" fillId="0" borderId="48" xfId="0" applyNumberFormat="1" applyFont="1" applyBorder="1"/>
    <xf numFmtId="0" fontId="4" fillId="0" borderId="49" xfId="0" applyFont="1" applyBorder="1"/>
    <xf numFmtId="0" fontId="4" fillId="0" borderId="49" xfId="0" applyFont="1" applyBorder="1" applyAlignment="1">
      <alignment horizontal="center"/>
    </xf>
    <xf numFmtId="0" fontId="4" fillId="0" borderId="50" xfId="0" applyFont="1" applyBorder="1" applyAlignment="1">
      <alignment horizontal="center"/>
    </xf>
    <xf numFmtId="0" fontId="0" fillId="0" borderId="51" xfId="0" applyNumberFormat="1" applyBorder="1" applyAlignment="1">
      <alignment horizontal="center"/>
    </xf>
    <xf numFmtId="0" fontId="0" fillId="0" borderId="52" xfId="0" applyBorder="1"/>
    <xf numFmtId="0" fontId="0" fillId="0" borderId="53" xfId="0" applyBorder="1"/>
    <xf numFmtId="49" fontId="9" fillId="0" borderId="34" xfId="0" applyNumberFormat="1" applyFont="1" applyBorder="1"/>
    <xf numFmtId="0" fontId="3" fillId="0" borderId="35" xfId="0" applyFont="1" applyBorder="1"/>
    <xf numFmtId="0" fontId="3" fillId="0" borderId="38" xfId="0" applyFont="1" applyBorder="1"/>
    <xf numFmtId="49" fontId="3" fillId="0" borderId="39" xfId="0" applyNumberFormat="1" applyFont="1" applyBorder="1" applyAlignment="1">
      <alignment horizontal="center"/>
    </xf>
    <xf numFmtId="0" fontId="3" fillId="0" borderId="54" xfId="0" applyNumberFormat="1" applyFont="1" applyBorder="1" applyAlignment="1">
      <alignment horizontal="center"/>
    </xf>
    <xf numFmtId="0" fontId="3" fillId="0" borderId="40" xfId="0" applyNumberFormat="1" applyFont="1" applyBorder="1" applyAlignment="1">
      <alignment horizontal="center"/>
    </xf>
    <xf numFmtId="0" fontId="3" fillId="0" borderId="29" xfId="0" applyFont="1" applyBorder="1"/>
    <xf numFmtId="49" fontId="3" fillId="0" borderId="30" xfId="0" applyNumberFormat="1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43" xfId="0" applyNumberFormat="1" applyFont="1" applyBorder="1" applyAlignment="1">
      <alignment horizontal="center"/>
    </xf>
    <xf numFmtId="0" fontId="3" fillId="0" borderId="45" xfId="0" applyFont="1" applyBorder="1"/>
    <xf numFmtId="49" fontId="3" fillId="0" borderId="46" xfId="0" applyNumberFormat="1" applyFont="1" applyBorder="1" applyAlignment="1">
      <alignment horizontal="center"/>
    </xf>
    <xf numFmtId="49" fontId="3" fillId="0" borderId="55" xfId="0" applyNumberFormat="1" applyFont="1" applyBorder="1" applyAlignment="1">
      <alignment horizontal="center"/>
    </xf>
    <xf numFmtId="0" fontId="3" fillId="0" borderId="47" xfId="0" applyNumberFormat="1" applyFont="1" applyBorder="1" applyAlignment="1">
      <alignment horizontal="center"/>
    </xf>
    <xf numFmtId="49" fontId="4" fillId="2" borderId="48" xfId="0" applyNumberFormat="1" applyFont="1" applyFill="1" applyBorder="1"/>
    <xf numFmtId="0" fontId="3" fillId="0" borderId="49" xfId="0" applyFont="1" applyBorder="1"/>
    <xf numFmtId="49" fontId="3" fillId="0" borderId="50" xfId="0" applyNumberFormat="1" applyFont="1" applyBorder="1" applyAlignment="1">
      <alignment horizontal="center"/>
    </xf>
    <xf numFmtId="0" fontId="3" fillId="0" borderId="56" xfId="0" applyNumberFormat="1" applyFont="1" applyBorder="1" applyAlignment="1">
      <alignment horizontal="center"/>
    </xf>
    <xf numFmtId="0" fontId="3" fillId="0" borderId="51" xfId="0" applyNumberFormat="1" applyFont="1" applyBorder="1" applyAlignment="1">
      <alignment horizontal="center"/>
    </xf>
    <xf numFmtId="49" fontId="4" fillId="0" borderId="24" xfId="0" applyNumberFormat="1" applyFont="1" applyBorder="1"/>
    <xf numFmtId="0" fontId="3" fillId="0" borderId="58" xfId="0" applyFont="1" applyBorder="1"/>
    <xf numFmtId="0" fontId="3" fillId="0" borderId="16" xfId="0" applyNumberFormat="1" applyFont="1" applyBorder="1" applyAlignment="1">
      <alignment horizontal="center"/>
    </xf>
    <xf numFmtId="0" fontId="0" fillId="0" borderId="9" xfId="0" applyBorder="1"/>
    <xf numFmtId="49" fontId="0" fillId="0" borderId="16" xfId="0" applyNumberFormat="1" applyBorder="1"/>
    <xf numFmtId="49" fontId="0" fillId="0" borderId="17" xfId="0" applyNumberFormat="1" applyBorder="1" applyAlignment="1">
      <alignment horizontal="center"/>
    </xf>
    <xf numFmtId="49" fontId="0" fillId="0" borderId="19" xfId="0" applyNumberFormat="1" applyBorder="1" applyAlignment="1">
      <alignment horizontal="center"/>
    </xf>
    <xf numFmtId="0" fontId="3" fillId="0" borderId="25" xfId="0" applyFont="1" applyBorder="1"/>
    <xf numFmtId="0" fontId="3" fillId="0" borderId="57" xfId="0" applyFont="1" applyBorder="1" applyAlignment="1">
      <alignment horizontal="center"/>
    </xf>
    <xf numFmtId="1" fontId="3" fillId="0" borderId="16" xfId="0" applyNumberFormat="1" applyFont="1" applyBorder="1" applyAlignment="1">
      <alignment horizontal="center"/>
    </xf>
    <xf numFmtId="0" fontId="0" fillId="0" borderId="59" xfId="0" applyNumberFormat="1" applyBorder="1" applyAlignment="1">
      <alignment horizontal="center"/>
    </xf>
    <xf numFmtId="0" fontId="0" fillId="0" borderId="60" xfId="0" applyNumberFormat="1" applyBorder="1" applyAlignment="1">
      <alignment horizontal="center"/>
    </xf>
    <xf numFmtId="0" fontId="3" fillId="0" borderId="43" xfId="0" applyFont="1" applyBorder="1" applyAlignment="1">
      <alignment horizontal="center"/>
    </xf>
    <xf numFmtId="0" fontId="0" fillId="0" borderId="61" xfId="0" applyNumberFormat="1" applyBorder="1" applyAlignment="1">
      <alignment horizontal="center"/>
    </xf>
    <xf numFmtId="0" fontId="0" fillId="0" borderId="62" xfId="0" applyNumberFormat="1" applyBorder="1" applyAlignment="1">
      <alignment horizontal="center"/>
    </xf>
    <xf numFmtId="0" fontId="0" fillId="0" borderId="63" xfId="0" applyNumberFormat="1" applyBorder="1" applyAlignment="1">
      <alignment horizontal="center"/>
    </xf>
    <xf numFmtId="0" fontId="0" fillId="0" borderId="64" xfId="0" applyNumberFormat="1" applyBorder="1" applyAlignment="1">
      <alignment horizontal="center"/>
    </xf>
    <xf numFmtId="49" fontId="4" fillId="0" borderId="65" xfId="0" applyNumberFormat="1" applyFont="1" applyBorder="1"/>
    <xf numFmtId="0" fontId="3" fillId="0" borderId="66" xfId="0" applyFont="1" applyBorder="1"/>
    <xf numFmtId="49" fontId="3" fillId="0" borderId="67" xfId="0" applyNumberFormat="1" applyFont="1" applyBorder="1" applyAlignment="1">
      <alignment horizontal="center"/>
    </xf>
    <xf numFmtId="0" fontId="3" fillId="0" borderId="55" xfId="0" applyNumberFormat="1" applyFont="1" applyBorder="1" applyAlignment="1">
      <alignment horizontal="center"/>
    </xf>
    <xf numFmtId="0" fontId="0" fillId="0" borderId="68" xfId="0" applyBorder="1"/>
    <xf numFmtId="0" fontId="0" fillId="0" borderId="68" xfId="0" applyBorder="1" applyAlignment="1">
      <alignment horizontal="center"/>
    </xf>
    <xf numFmtId="49" fontId="9" fillId="0" borderId="69" xfId="0" applyNumberFormat="1" applyFont="1" applyBorder="1"/>
    <xf numFmtId="0" fontId="3" fillId="0" borderId="69" xfId="0" applyFont="1" applyBorder="1"/>
    <xf numFmtId="0" fontId="3" fillId="0" borderId="69" xfId="0" applyFont="1" applyBorder="1" applyAlignment="1">
      <alignment horizontal="center"/>
    </xf>
    <xf numFmtId="49" fontId="3" fillId="0" borderId="69" xfId="0" applyNumberFormat="1" applyFont="1" applyBorder="1" applyAlignment="1">
      <alignment horizontal="center"/>
    </xf>
    <xf numFmtId="49" fontId="4" fillId="0" borderId="70" xfId="0" applyNumberFormat="1" applyFont="1" applyBorder="1"/>
    <xf numFmtId="0" fontId="4" fillId="0" borderId="71" xfId="0" applyFont="1" applyBorder="1"/>
    <xf numFmtId="0" fontId="3" fillId="0" borderId="71" xfId="0" applyFont="1" applyBorder="1"/>
    <xf numFmtId="0" fontId="3" fillId="0" borderId="72" xfId="0" applyFont="1" applyBorder="1" applyAlignment="1">
      <alignment horizontal="center"/>
    </xf>
    <xf numFmtId="0" fontId="4" fillId="0" borderId="25" xfId="0" applyFont="1" applyBorder="1"/>
    <xf numFmtId="0" fontId="3" fillId="0" borderId="1" xfId="0" applyFont="1" applyBorder="1"/>
    <xf numFmtId="0" fontId="4" fillId="0" borderId="66" xfId="0" applyFont="1" applyBorder="1"/>
    <xf numFmtId="0" fontId="3" fillId="0" borderId="67" xfId="0" applyFont="1" applyBorder="1"/>
    <xf numFmtId="0" fontId="3" fillId="0" borderId="68" xfId="0" applyFont="1" applyBorder="1"/>
    <xf numFmtId="0" fontId="10" fillId="0" borderId="18" xfId="0" applyFont="1" applyBorder="1" applyAlignment="1">
      <alignment horizontal="center"/>
    </xf>
    <xf numFmtId="0" fontId="0" fillId="0" borderId="30" xfId="0" applyNumberFormat="1" applyBorder="1" applyAlignment="1">
      <alignment horizontal="center"/>
    </xf>
    <xf numFmtId="49" fontId="0" fillId="0" borderId="32" xfId="0" applyNumberFormat="1" applyBorder="1" applyAlignment="1">
      <alignment horizontal="center"/>
    </xf>
    <xf numFmtId="0" fontId="0" fillId="0" borderId="0" xfId="0" applyBorder="1"/>
    <xf numFmtId="0" fontId="0" fillId="0" borderId="74" xfId="0" applyBorder="1" applyAlignment="1">
      <alignment horizontal="center"/>
    </xf>
    <xf numFmtId="49" fontId="0" fillId="0" borderId="75" xfId="0" applyNumberFormat="1" applyBorder="1" applyAlignment="1">
      <alignment horizontal="center"/>
    </xf>
    <xf numFmtId="0" fontId="0" fillId="0" borderId="76" xfId="0" applyBorder="1" applyAlignment="1">
      <alignment horizontal="center"/>
    </xf>
    <xf numFmtId="0" fontId="0" fillId="0" borderId="77" xfId="0" applyBorder="1" applyAlignment="1">
      <alignment horizontal="center"/>
    </xf>
    <xf numFmtId="0" fontId="0" fillId="0" borderId="78" xfId="0" applyBorder="1" applyAlignment="1">
      <alignment horizontal="center"/>
    </xf>
    <xf numFmtId="0" fontId="0" fillId="0" borderId="42" xfId="0" applyBorder="1"/>
    <xf numFmtId="0" fontId="0" fillId="0" borderId="73" xfId="0" applyBorder="1"/>
    <xf numFmtId="49" fontId="0" fillId="0" borderId="17" xfId="0" applyNumberFormat="1" applyBorder="1" applyAlignment="1">
      <alignment horizontal="right"/>
    </xf>
    <xf numFmtId="0" fontId="4" fillId="0" borderId="7" xfId="0" applyFont="1" applyBorder="1" applyAlignment="1">
      <alignment horizontal="center"/>
    </xf>
    <xf numFmtId="0" fontId="0" fillId="0" borderId="7" xfId="0" applyBorder="1"/>
    <xf numFmtId="49" fontId="4" fillId="0" borderId="13" xfId="0" applyNumberFormat="1" applyFont="1" applyBorder="1" applyAlignment="1">
      <alignment horizontal="center"/>
    </xf>
    <xf numFmtId="0" fontId="0" fillId="0" borderId="13" xfId="0" applyBorder="1"/>
    <xf numFmtId="49" fontId="4" fillId="0" borderId="3" xfId="0" applyNumberFormat="1" applyFont="1" applyBorder="1" applyAlignment="1">
      <alignment horizontal="center"/>
    </xf>
    <xf numFmtId="0" fontId="0" fillId="0" borderId="3" xfId="0" applyBorder="1"/>
    <xf numFmtId="0" fontId="1" fillId="0" borderId="1" xfId="0" applyFont="1" applyBorder="1"/>
    <xf numFmtId="0" fontId="0" fillId="0" borderId="1" xfId="0" applyBorder="1"/>
    <xf numFmtId="49" fontId="0" fillId="0" borderId="2" xfId="0" applyNumberFormat="1" applyBorder="1"/>
    <xf numFmtId="0" fontId="0" fillId="0" borderId="2" xfId="0" applyBorder="1"/>
    <xf numFmtId="0" fontId="4" fillId="0" borderId="7" xfId="0" applyFont="1" applyBorder="1"/>
    <xf numFmtId="0" fontId="0" fillId="0" borderId="16" xfId="0" applyBorder="1" applyAlignment="1">
      <alignment horizontal="center"/>
    </xf>
    <xf numFmtId="0" fontId="0" fillId="0" borderId="16" xfId="0" applyBorder="1"/>
    <xf numFmtId="0" fontId="0" fillId="0" borderId="77" xfId="0" applyBorder="1" applyAlignment="1">
      <alignment horizontal="center"/>
    </xf>
    <xf numFmtId="0" fontId="0" fillId="0" borderId="77" xfId="0" applyBorder="1"/>
    <xf numFmtId="49" fontId="0" fillId="0" borderId="16" xfId="0" applyNumberFormat="1" applyBorder="1" applyAlignment="1">
      <alignment horizontal="center"/>
    </xf>
    <xf numFmtId="49" fontId="4" fillId="0" borderId="24" xfId="0" applyNumberFormat="1" applyFont="1" applyBorder="1"/>
    <xf numFmtId="0" fontId="0" fillId="0" borderId="57" xfId="0" applyBorder="1"/>
    <xf numFmtId="0" fontId="3" fillId="0" borderId="25" xfId="0" applyFont="1" applyBorder="1" applyAlignment="1">
      <alignment horizontal="center"/>
    </xf>
    <xf numFmtId="49" fontId="4" fillId="0" borderId="65" xfId="0" applyNumberFormat="1" applyFont="1" applyBorder="1"/>
    <xf numFmtId="0" fontId="0" fillId="0" borderId="66" xfId="0" applyBorder="1"/>
    <xf numFmtId="49" fontId="0" fillId="0" borderId="1" xfId="0" applyNumberFormat="1" applyBorder="1"/>
    <xf numFmtId="49" fontId="10" fillId="0" borderId="1" xfId="0" applyNumberFormat="1" applyFont="1" applyBorder="1"/>
    <xf numFmtId="49" fontId="3" fillId="0" borderId="2" xfId="0" applyNumberFormat="1" applyFont="1" applyBorder="1"/>
    <xf numFmtId="0" fontId="0" fillId="0" borderId="79" xfId="0" applyBorder="1"/>
    <xf numFmtId="0" fontId="0" fillId="0" borderId="80" xfId="0" applyBorder="1"/>
    <xf numFmtId="0" fontId="0" fillId="0" borderId="78" xfId="0" applyBorder="1" applyAlignment="1">
      <alignment horizontal="center"/>
    </xf>
    <xf numFmtId="0" fontId="0" fillId="0" borderId="78" xfId="0" applyBorder="1"/>
    <xf numFmtId="49" fontId="6" fillId="0" borderId="10" xfId="0" applyNumberFormat="1" applyFont="1" applyBorder="1"/>
    <xf numFmtId="0" fontId="0" fillId="0" borderId="81" xfId="0" applyBorder="1"/>
  </cellXfs>
  <cellStyles count="1">
    <cellStyle name="Normální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FF"/>
      <rgbColor rgb="FFFBE4D5"/>
      <rgbColor rgb="FFBDC0BF"/>
      <rgbColor rgb="FFA5A5A5"/>
      <rgbColor rgb="FF3F3F3F"/>
      <rgbColor rgb="FFDBDBDB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1356</xdr:colOff>
      <xdr:row>57</xdr:row>
      <xdr:rowOff>149225</xdr:rowOff>
    </xdr:from>
    <xdr:to>
      <xdr:col>14</xdr:col>
      <xdr:colOff>5677</xdr:colOff>
      <xdr:row>62</xdr:row>
      <xdr:rowOff>57190</xdr:rowOff>
    </xdr:to>
    <xdr:pic>
      <xdr:nvPicPr>
        <xdr:cNvPr id="2" name="Rukopis 124" descr="Rukopis 1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4954356" y="9378950"/>
          <a:ext cx="1388622" cy="717591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Motiv Office">
  <a:themeElements>
    <a:clrScheme name="Motiv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Motiv 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Motiv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5"/>
  <sheetViews>
    <sheetView showGridLines="0" tabSelected="1" zoomScale="150" workbookViewId="0">
      <selection activeCell="I10" sqref="I10"/>
    </sheetView>
  </sheetViews>
  <sheetFormatPr baseColWidth="10" defaultColWidth="10.83203125" defaultRowHeight="15.5" customHeight="1" x14ac:dyDescent="0.2"/>
  <cols>
    <col min="1" max="1" width="3.1640625" style="1" customWidth="1"/>
    <col min="2" max="2" width="5.33203125" style="1" customWidth="1"/>
    <col min="3" max="3" width="1.83203125" style="1" customWidth="1"/>
    <col min="4" max="4" width="6.83203125" style="1" customWidth="1"/>
    <col min="5" max="5" width="5.33203125" style="1" customWidth="1"/>
    <col min="6" max="6" width="1.5" style="1" customWidth="1"/>
    <col min="7" max="7" width="5.33203125" style="1" customWidth="1"/>
    <col min="8" max="8" width="6.5" style="1" customWidth="1"/>
    <col min="9" max="9" width="7.5" style="1" customWidth="1"/>
    <col min="10" max="10" width="6.1640625" style="1" customWidth="1"/>
    <col min="11" max="11" width="7" style="1" customWidth="1"/>
    <col min="12" max="12" width="8.5" style="1" customWidth="1"/>
    <col min="13" max="13" width="11.1640625" style="1" customWidth="1"/>
    <col min="14" max="14" width="7" style="1" customWidth="1"/>
    <col min="15" max="15" width="10" style="1" customWidth="1"/>
    <col min="16" max="16" width="8.83203125" style="1" customWidth="1"/>
    <col min="17" max="17" width="10.83203125" style="1" customWidth="1"/>
    <col min="18" max="16384" width="10.83203125" style="1"/>
  </cols>
  <sheetData>
    <row r="1" spans="1:16" ht="12.75" customHeight="1" x14ac:dyDescent="0.2">
      <c r="A1" s="2"/>
      <c r="B1" s="164"/>
      <c r="C1" s="165"/>
      <c r="D1" s="165"/>
      <c r="E1" s="2"/>
      <c r="F1" s="2"/>
      <c r="G1" s="2"/>
      <c r="H1" s="2"/>
      <c r="I1" s="2"/>
      <c r="J1" s="3" t="s">
        <v>0</v>
      </c>
      <c r="K1" s="2"/>
      <c r="L1" s="2"/>
      <c r="M1" s="2"/>
      <c r="N1" s="2"/>
      <c r="O1" s="2"/>
      <c r="P1" s="4"/>
    </row>
    <row r="2" spans="1:16" ht="12.75" customHeight="1" x14ac:dyDescent="0.2">
      <c r="A2" s="180" t="s">
        <v>1</v>
      </c>
      <c r="B2" s="165"/>
      <c r="C2" s="165"/>
      <c r="D2" s="165"/>
      <c r="E2" s="165"/>
      <c r="F2" s="165"/>
      <c r="G2" s="165"/>
      <c r="H2" s="2"/>
      <c r="I2" s="2"/>
      <c r="J2" s="2"/>
      <c r="K2" s="2"/>
      <c r="L2" s="179" t="s">
        <v>2</v>
      </c>
      <c r="M2" s="165"/>
      <c r="N2" s="5"/>
      <c r="O2" s="5"/>
      <c r="P2" s="6"/>
    </row>
    <row r="3" spans="1:16" ht="12.75" customHeight="1" x14ac:dyDescent="0.2">
      <c r="A3" s="166" t="s">
        <v>3</v>
      </c>
      <c r="B3" s="167"/>
      <c r="C3" s="167"/>
      <c r="D3" s="167"/>
      <c r="E3" s="8"/>
      <c r="F3" s="181" t="s">
        <v>4</v>
      </c>
      <c r="G3" s="167"/>
      <c r="H3" s="167"/>
      <c r="I3" s="167"/>
      <c r="J3" s="7"/>
      <c r="K3" s="7"/>
      <c r="L3" s="167" t="str" cm="1">
        <f t="array" ref="L3">_xlfn.CONCAT("Období(měsíc/rok) ",12,"/",2025)</f>
        <v>Období(měsíc/rok) 12/2025</v>
      </c>
      <c r="M3" s="167"/>
      <c r="N3" s="167"/>
      <c r="O3" s="7"/>
      <c r="P3" s="6"/>
    </row>
    <row r="4" spans="1:16" ht="12.75" customHeight="1" x14ac:dyDescent="0.2">
      <c r="A4" s="9" t="s">
        <v>5</v>
      </c>
      <c r="B4" s="162" t="s">
        <v>6</v>
      </c>
      <c r="C4" s="163"/>
      <c r="D4" s="163"/>
      <c r="E4" s="11"/>
      <c r="F4" s="10" t="s">
        <v>7</v>
      </c>
      <c r="G4" s="11"/>
      <c r="H4" s="9" t="s">
        <v>8</v>
      </c>
      <c r="I4" s="12" t="s">
        <v>9</v>
      </c>
      <c r="J4" s="13" t="s">
        <v>10</v>
      </c>
      <c r="K4" s="14" t="s">
        <v>10</v>
      </c>
      <c r="L4" s="15" t="s">
        <v>11</v>
      </c>
      <c r="M4" s="9" t="s">
        <v>12</v>
      </c>
      <c r="N4" s="9" t="s">
        <v>13</v>
      </c>
      <c r="O4" s="16"/>
      <c r="P4" s="17"/>
    </row>
    <row r="5" spans="1:16" ht="12.75" customHeight="1" x14ac:dyDescent="0.2">
      <c r="A5" s="18"/>
      <c r="B5" s="158"/>
      <c r="C5" s="159"/>
      <c r="D5" s="159"/>
      <c r="E5" s="168"/>
      <c r="F5" s="159"/>
      <c r="G5" s="159"/>
      <c r="H5" s="19" t="s">
        <v>14</v>
      </c>
      <c r="I5" s="20" t="s">
        <v>15</v>
      </c>
      <c r="J5" s="21" t="s">
        <v>16</v>
      </c>
      <c r="K5" s="22" t="s">
        <v>16</v>
      </c>
      <c r="L5" s="23" t="s">
        <v>17</v>
      </c>
      <c r="M5" s="19" t="s">
        <v>18</v>
      </c>
      <c r="N5" s="24" t="s">
        <v>18</v>
      </c>
      <c r="O5" s="25"/>
      <c r="P5" s="17"/>
    </row>
    <row r="6" spans="1:16" ht="12.75" customHeight="1" x14ac:dyDescent="0.2">
      <c r="A6" s="18"/>
      <c r="B6" s="159"/>
      <c r="C6" s="159"/>
      <c r="D6" s="159"/>
      <c r="E6" s="159"/>
      <c r="F6" s="159"/>
      <c r="G6" s="159"/>
      <c r="H6" s="19" t="s">
        <v>19</v>
      </c>
      <c r="I6" s="20" t="s">
        <v>20</v>
      </c>
      <c r="J6" s="186" t="s">
        <v>21</v>
      </c>
      <c r="K6" s="187"/>
      <c r="L6" s="26"/>
      <c r="M6" s="18"/>
      <c r="N6" s="27"/>
      <c r="O6" s="25"/>
      <c r="P6" s="17"/>
    </row>
    <row r="7" spans="1:16" ht="12.75" customHeight="1" x14ac:dyDescent="0.2">
      <c r="A7" s="28"/>
      <c r="B7" s="160" t="s">
        <v>22</v>
      </c>
      <c r="C7" s="161"/>
      <c r="D7" s="161"/>
      <c r="E7" s="30"/>
      <c r="F7" s="29" t="s">
        <v>22</v>
      </c>
      <c r="G7" s="30"/>
      <c r="H7" s="31" t="s">
        <v>17</v>
      </c>
      <c r="I7" s="32" t="s">
        <v>23</v>
      </c>
      <c r="J7" s="33" t="s">
        <v>24</v>
      </c>
      <c r="K7" s="34" t="s">
        <v>23</v>
      </c>
      <c r="L7" s="35" t="s">
        <v>25</v>
      </c>
      <c r="M7" s="31" t="s">
        <v>22</v>
      </c>
      <c r="N7" s="31" t="s">
        <v>26</v>
      </c>
      <c r="O7" s="28"/>
      <c r="P7" s="17"/>
    </row>
    <row r="8" spans="1:16" ht="12.75" customHeight="1" x14ac:dyDescent="0.2">
      <c r="A8" s="36">
        <v>1</v>
      </c>
      <c r="B8" s="37"/>
      <c r="C8" s="146" t="s">
        <v>27</v>
      </c>
      <c r="D8" s="38"/>
      <c r="E8" s="39" t="str" cm="1">
        <f t="array" ref="E8">IF(ISBLANK(D8),"","12.00")</f>
        <v/>
      </c>
      <c r="F8" s="40" t="s">
        <v>27</v>
      </c>
      <c r="G8" s="41" t="str" cm="1">
        <f t="array" ref="G8">IF(ISBLANK(D8),"","12.30")</f>
        <v/>
      </c>
      <c r="H8" s="42"/>
      <c r="I8" s="43"/>
      <c r="J8" s="44" t="str" cm="1">
        <f t="array" ref="J8">IF(AND(ISNUMBER(H8),NOT(ISERROR(H8&gt;8)),H8&gt;8),H8-8,"")</f>
        <v/>
      </c>
      <c r="K8" s="45"/>
      <c r="L8" s="46"/>
      <c r="M8" s="47"/>
      <c r="N8" s="169"/>
      <c r="O8" s="170"/>
      <c r="P8" s="17"/>
    </row>
    <row r="9" spans="1:16" ht="12.75" customHeight="1" x14ac:dyDescent="0.2">
      <c r="A9" s="36">
        <v>2</v>
      </c>
      <c r="B9" s="157"/>
      <c r="C9" s="146" t="s">
        <v>27</v>
      </c>
      <c r="D9" s="38"/>
      <c r="E9" s="39" t="str" cm="1">
        <f t="array" ref="E9">IF(ISBLANK(D9),"","12.00")</f>
        <v/>
      </c>
      <c r="F9" s="40" t="s">
        <v>27</v>
      </c>
      <c r="G9" s="41" t="str" cm="1">
        <f t="array" ref="G9">IF(ISBLANK(D9),"","12.30")</f>
        <v/>
      </c>
      <c r="H9" s="47"/>
      <c r="I9" s="48"/>
      <c r="J9" s="5" t="str" cm="1">
        <f t="array" ref="J9">IF(AND(ISNUMBER(H9),NOT(ISERROR(H9&gt;8)),H9&gt;8),H9-8,"")</f>
        <v/>
      </c>
      <c r="K9" s="49"/>
      <c r="L9" s="46"/>
      <c r="M9" s="47"/>
      <c r="N9" s="169"/>
      <c r="O9" s="170"/>
      <c r="P9" s="17"/>
    </row>
    <row r="10" spans="1:16" ht="12.75" customHeight="1" x14ac:dyDescent="0.2">
      <c r="A10" s="36">
        <v>3</v>
      </c>
      <c r="B10" s="37"/>
      <c r="C10" s="146" t="s">
        <v>27</v>
      </c>
      <c r="D10" s="38"/>
      <c r="E10" s="39" t="str" cm="1">
        <f t="array" ref="E10">IF(ISBLANK(D10),"","12.00")</f>
        <v/>
      </c>
      <c r="F10" s="40" t="s">
        <v>27</v>
      </c>
      <c r="G10" s="41" t="str" cm="1">
        <f t="array" ref="G10">IF(ISBLANK(D10),"","12.30")</f>
        <v/>
      </c>
      <c r="H10" s="42"/>
      <c r="I10" s="50"/>
      <c r="J10" s="51" t="str" cm="1">
        <f t="array" ref="J10">IF(AND(ISNUMBER(H10),NOT(ISERROR(H10&gt;8)),H10&gt;8),H10-8,"")</f>
        <v/>
      </c>
      <c r="K10" s="49"/>
      <c r="L10" s="46"/>
      <c r="M10" s="47"/>
      <c r="N10" s="169"/>
      <c r="O10" s="170"/>
      <c r="P10" s="17"/>
    </row>
    <row r="11" spans="1:16" ht="12.75" customHeight="1" x14ac:dyDescent="0.2">
      <c r="A11" s="36">
        <v>4</v>
      </c>
      <c r="B11" s="37"/>
      <c r="C11" s="146" t="s">
        <v>27</v>
      </c>
      <c r="D11" s="38"/>
      <c r="E11" s="39" t="str" cm="1">
        <f t="array" ref="E11">IF(ISBLANK(D11),"","12.00")</f>
        <v/>
      </c>
      <c r="F11" s="40" t="s">
        <v>27</v>
      </c>
      <c r="G11" s="41" t="str" cm="1">
        <f t="array" ref="G11">IF(ISBLANK(D11),"","12.30")</f>
        <v/>
      </c>
      <c r="H11" s="42"/>
      <c r="I11" s="50"/>
      <c r="J11" s="5" t="str" cm="1">
        <f t="array" ref="J11">IF(AND(ISNUMBER(H11),NOT(ISERROR(H11&gt;8)),H11&gt;8),H11-8,"")</f>
        <v/>
      </c>
      <c r="K11" s="49"/>
      <c r="L11" s="46"/>
      <c r="M11" s="47"/>
      <c r="N11" s="169"/>
      <c r="O11" s="170"/>
      <c r="P11" s="17"/>
    </row>
    <row r="12" spans="1:16" ht="12.75" customHeight="1" x14ac:dyDescent="0.2">
      <c r="A12" s="36">
        <v>5</v>
      </c>
      <c r="B12" s="37"/>
      <c r="C12" s="146" t="s">
        <v>27</v>
      </c>
      <c r="D12" s="38"/>
      <c r="E12" s="39" t="str" cm="1">
        <f t="array" ref="E12">IF(ISBLANK(D12),"","12.00")</f>
        <v/>
      </c>
      <c r="F12" s="40" t="s">
        <v>27</v>
      </c>
      <c r="G12" s="41" t="str" cm="1">
        <f t="array" ref="G12">IF(ISBLANK(D12),"","12.30")</f>
        <v/>
      </c>
      <c r="H12" s="42"/>
      <c r="I12" s="50"/>
      <c r="J12" s="51" t="str" cm="1">
        <f t="array" ref="J12">IF(AND(ISNUMBER(H12),NOT(ISERROR(H12&gt;8)),H12&gt;8),H12-8,"")</f>
        <v/>
      </c>
      <c r="K12" s="49"/>
      <c r="L12" s="46"/>
      <c r="M12" s="153"/>
      <c r="N12" s="171"/>
      <c r="O12" s="172"/>
      <c r="P12" s="17"/>
    </row>
    <row r="13" spans="1:16" ht="12.75" customHeight="1" x14ac:dyDescent="0.2">
      <c r="A13" s="36">
        <v>6</v>
      </c>
      <c r="B13" s="37"/>
      <c r="C13" s="146" t="s">
        <v>27</v>
      </c>
      <c r="D13" s="38"/>
      <c r="E13" s="39" t="str" cm="1">
        <f t="array" ref="E13">IF(ISBLANK(D13),"","12.00")</f>
        <v/>
      </c>
      <c r="F13" s="40" t="s">
        <v>27</v>
      </c>
      <c r="G13" s="41" t="str" cm="1">
        <f t="array" ref="G13">IF(ISBLANK(D13),"","12.30")</f>
        <v/>
      </c>
      <c r="H13" s="47"/>
      <c r="I13" s="50"/>
      <c r="J13" s="5" t="str" cm="1">
        <f t="array" ref="J13">IF(AND(ISNUMBER(H13),NOT(ISERROR(H13&gt;8)),H13&gt;8),H13-8,"")</f>
        <v/>
      </c>
      <c r="K13" s="49"/>
      <c r="L13" s="155"/>
      <c r="M13" s="156"/>
      <c r="N13" s="182"/>
      <c r="O13" s="183"/>
      <c r="P13" s="66"/>
    </row>
    <row r="14" spans="1:16" ht="12.75" customHeight="1" x14ac:dyDescent="0.2">
      <c r="A14" s="36">
        <v>7</v>
      </c>
      <c r="B14" s="37"/>
      <c r="C14" s="146" t="s">
        <v>27</v>
      </c>
      <c r="D14" s="38"/>
      <c r="E14" s="39" t="str" cm="1">
        <f t="array" ref="E14">IF(ISBLANK(D14),"","12.00")</f>
        <v/>
      </c>
      <c r="F14" s="40" t="s">
        <v>27</v>
      </c>
      <c r="G14" s="41" t="str" cm="1">
        <f t="array" ref="G14">IF(ISBLANK(D14),"","12.30")</f>
        <v/>
      </c>
      <c r="H14" s="47"/>
      <c r="I14" s="50"/>
      <c r="J14" s="5" t="str" cm="1">
        <f t="array" ref="J14">IF(AND(ISNUMBER(H14),NOT(ISERROR(H14&gt;8)),H14&gt;8),H14-8,"")</f>
        <v/>
      </c>
      <c r="K14" s="49"/>
      <c r="L14" s="46"/>
      <c r="M14" s="154"/>
      <c r="N14" s="184"/>
      <c r="O14" s="185"/>
      <c r="P14" s="17"/>
    </row>
    <row r="15" spans="1:16" ht="12.75" customHeight="1" x14ac:dyDescent="0.2">
      <c r="A15" s="36">
        <v>8</v>
      </c>
      <c r="B15" s="37"/>
      <c r="C15" s="146" t="s">
        <v>27</v>
      </c>
      <c r="D15" s="38"/>
      <c r="E15" s="39" t="str" cm="1">
        <f t="array" ref="E15">IF(ISBLANK(D15),"","12.00")</f>
        <v/>
      </c>
      <c r="F15" s="40" t="s">
        <v>27</v>
      </c>
      <c r="G15" s="41" t="str" cm="1">
        <f t="array" ref="G15">IF(ISBLANK(D15),"","12.30")</f>
        <v/>
      </c>
      <c r="H15" s="42"/>
      <c r="I15" s="50"/>
      <c r="J15" s="51" t="str" cm="1">
        <f t="array" ref="J15">IF(AND(ISNUMBER(H15),NOT(ISERROR(H15&gt;8)),H15&gt;8),H15-8,"")</f>
        <v/>
      </c>
      <c r="K15" s="49"/>
      <c r="L15" s="46"/>
      <c r="M15" s="47"/>
      <c r="N15" s="169"/>
      <c r="O15" s="170"/>
      <c r="P15" s="17"/>
    </row>
    <row r="16" spans="1:16" ht="12.75" customHeight="1" x14ac:dyDescent="0.2">
      <c r="A16" s="36">
        <v>9</v>
      </c>
      <c r="B16" s="37"/>
      <c r="C16" s="146" t="s">
        <v>27</v>
      </c>
      <c r="D16" s="38"/>
      <c r="E16" s="39" t="str" cm="1">
        <f t="array" ref="E16">IF(ISBLANK(D16),"","12.00")</f>
        <v/>
      </c>
      <c r="F16" s="40" t="s">
        <v>27</v>
      </c>
      <c r="G16" s="41" t="str" cm="1">
        <f t="array" ref="G16">IF(ISBLANK(D16),"","12.30")</f>
        <v/>
      </c>
      <c r="H16" s="42"/>
      <c r="I16" s="50"/>
      <c r="J16" s="51" t="str" cm="1">
        <f t="array" ref="J16">IF(AND(ISNUMBER(H16),NOT(ISERROR(H16&gt;8)),H16&gt;8),H16-8,"")</f>
        <v/>
      </c>
      <c r="K16" s="49"/>
      <c r="L16" s="46"/>
      <c r="M16" s="47"/>
      <c r="N16" s="169"/>
      <c r="O16" s="170"/>
      <c r="P16" s="17"/>
    </row>
    <row r="17" spans="1:16" ht="12.75" customHeight="1" x14ac:dyDescent="0.2">
      <c r="A17" s="36">
        <v>10</v>
      </c>
      <c r="B17" s="37"/>
      <c r="C17" s="146" t="s">
        <v>27</v>
      </c>
      <c r="D17" s="38"/>
      <c r="E17" s="39" t="str" cm="1">
        <f t="array" ref="E17">IF(ISBLANK(D17),"","12.00")</f>
        <v/>
      </c>
      <c r="F17" s="40" t="s">
        <v>27</v>
      </c>
      <c r="G17" s="41" t="str" cm="1">
        <f t="array" ref="G17">IF(ISBLANK(D17),"","12.30")</f>
        <v/>
      </c>
      <c r="H17" s="42"/>
      <c r="I17" s="50"/>
      <c r="J17" s="51" t="str" cm="1">
        <f t="array" ref="J17">IF(AND(ISNUMBER(H17),NOT(ISERROR(H17&gt;8)),H17&gt;8),H17-8,"")</f>
        <v/>
      </c>
      <c r="K17" s="49"/>
      <c r="L17" s="46"/>
      <c r="M17" s="47"/>
      <c r="N17" s="169"/>
      <c r="O17" s="170"/>
      <c r="P17" s="17"/>
    </row>
    <row r="18" spans="1:16" ht="12.75" customHeight="1" x14ac:dyDescent="0.2">
      <c r="A18" s="36">
        <v>11</v>
      </c>
      <c r="B18" s="37"/>
      <c r="C18" s="146" t="s">
        <v>27</v>
      </c>
      <c r="D18" s="38"/>
      <c r="E18" s="39" t="str" cm="1">
        <f t="array" ref="E18">IF(ISBLANK(D18),"","12.00")</f>
        <v/>
      </c>
      <c r="F18" s="40" t="s">
        <v>27</v>
      </c>
      <c r="G18" s="41" t="str" cm="1">
        <f t="array" ref="G18">IF(ISBLANK(D18),"","12.30")</f>
        <v/>
      </c>
      <c r="H18" s="42"/>
      <c r="I18" s="50"/>
      <c r="J18" s="5" t="str" cm="1">
        <f t="array" ref="J18">IF(AND(ISNUMBER(H18),NOT(ISERROR(H18&gt;8)),H18&gt;8),H18-8,"")</f>
        <v/>
      </c>
      <c r="K18" s="49"/>
      <c r="L18" s="46"/>
      <c r="M18" s="47"/>
      <c r="N18" s="169"/>
      <c r="O18" s="170"/>
      <c r="P18" s="17"/>
    </row>
    <row r="19" spans="1:16" ht="12.75" customHeight="1" x14ac:dyDescent="0.2">
      <c r="A19" s="36">
        <v>12</v>
      </c>
      <c r="B19" s="37"/>
      <c r="C19" s="146" t="s">
        <v>27</v>
      </c>
      <c r="D19" s="38"/>
      <c r="E19" s="39" t="str" cm="1">
        <f t="array" ref="E19">IF(ISBLANK(D19),"","12.00")</f>
        <v/>
      </c>
      <c r="F19" s="40" t="s">
        <v>27</v>
      </c>
      <c r="G19" s="41" t="str" cm="1">
        <f t="array" ref="G19">IF(ISBLANK(D19),"","12.30")</f>
        <v/>
      </c>
      <c r="H19" s="42"/>
      <c r="I19" s="50"/>
      <c r="J19" s="51" t="str" cm="1">
        <f t="array" ref="J19">IF(AND(ISNUMBER(H19),NOT(ISERROR(H19&gt;8)),H19&gt;8),H19-8,"")</f>
        <v/>
      </c>
      <c r="K19" s="49"/>
      <c r="L19" s="46"/>
      <c r="M19" s="47"/>
      <c r="N19" s="169"/>
      <c r="O19" s="170"/>
      <c r="P19" s="17"/>
    </row>
    <row r="20" spans="1:16" ht="12.75" customHeight="1" x14ac:dyDescent="0.2">
      <c r="A20" s="36">
        <v>13</v>
      </c>
      <c r="B20" s="37"/>
      <c r="C20" s="146" t="s">
        <v>27</v>
      </c>
      <c r="D20" s="38"/>
      <c r="E20" s="39" t="str" cm="1">
        <f t="array" ref="E20">IF(ISBLANK(D20),"","12.00")</f>
        <v/>
      </c>
      <c r="F20" s="40" t="s">
        <v>27</v>
      </c>
      <c r="G20" s="41" t="str" cm="1">
        <f t="array" ref="G20">IF(ISBLANK(D20),"","12.30")</f>
        <v/>
      </c>
      <c r="H20" s="47"/>
      <c r="I20" s="52"/>
      <c r="J20" s="5" t="str" cm="1">
        <f t="array" ref="J20">IF(AND(ISNUMBER(H20),NOT(ISERROR(H20&gt;8)),H20&gt;8),H20-8,"")</f>
        <v/>
      </c>
      <c r="K20" s="49"/>
      <c r="L20" s="46"/>
      <c r="M20" s="47"/>
      <c r="N20" s="169"/>
      <c r="O20" s="170"/>
      <c r="P20" s="17"/>
    </row>
    <row r="21" spans="1:16" ht="12.75" customHeight="1" x14ac:dyDescent="0.2">
      <c r="A21" s="36">
        <v>14</v>
      </c>
      <c r="B21" s="37"/>
      <c r="C21" s="146" t="s">
        <v>27</v>
      </c>
      <c r="D21" s="38"/>
      <c r="E21" s="39" t="str" cm="1">
        <f t="array" ref="E21">IF(ISBLANK(D21),"","12.00")</f>
        <v/>
      </c>
      <c r="F21" s="40" t="s">
        <v>27</v>
      </c>
      <c r="G21" s="41" t="str" cm="1">
        <f t="array" ref="G21">IF(ISBLANK(D21),"","12.30")</f>
        <v/>
      </c>
      <c r="H21" s="47"/>
      <c r="I21" s="50"/>
      <c r="J21" s="5" t="str" cm="1">
        <f t="array" ref="J21">IF(AND(ISNUMBER(H21),NOT(ISERROR(H21&gt;8)),H21&gt;8),H21-8,"")</f>
        <v/>
      </c>
      <c r="K21" s="49"/>
      <c r="L21" s="46"/>
      <c r="M21" s="47"/>
      <c r="N21" s="169"/>
      <c r="O21" s="170"/>
      <c r="P21" s="17"/>
    </row>
    <row r="22" spans="1:16" ht="12.75" customHeight="1" x14ac:dyDescent="0.2">
      <c r="A22" s="36">
        <v>15</v>
      </c>
      <c r="B22" s="37"/>
      <c r="C22" s="146" t="s">
        <v>27</v>
      </c>
      <c r="D22" s="38"/>
      <c r="E22" s="39" t="str" cm="1">
        <f t="array" ref="E22">IF(ISBLANK(D22),"","12.00")</f>
        <v/>
      </c>
      <c r="F22" s="40" t="s">
        <v>27</v>
      </c>
      <c r="G22" s="41" t="str" cm="1">
        <f t="array" ref="G22">IF(ISBLANK(D22),"","12.30")</f>
        <v/>
      </c>
      <c r="H22" s="42"/>
      <c r="I22" s="50"/>
      <c r="J22" s="51" t="str" cm="1">
        <f t="array" ref="J22">IF(AND(ISNUMBER(H22),NOT(ISERROR(H22&gt;8)),H22&gt;8),H22-8,"")</f>
        <v/>
      </c>
      <c r="K22" s="49"/>
      <c r="L22" s="46"/>
      <c r="M22" s="47"/>
      <c r="N22" s="169"/>
      <c r="O22" s="170"/>
      <c r="P22" s="17"/>
    </row>
    <row r="23" spans="1:16" ht="12.75" customHeight="1" x14ac:dyDescent="0.2">
      <c r="A23" s="36">
        <v>16</v>
      </c>
      <c r="B23" s="37"/>
      <c r="C23" s="146" t="s">
        <v>27</v>
      </c>
      <c r="D23" s="38"/>
      <c r="E23" s="39" t="str" cm="1">
        <f t="array" ref="E23">IF(ISBLANK(D23),"","12.00")</f>
        <v/>
      </c>
      <c r="F23" s="40" t="s">
        <v>27</v>
      </c>
      <c r="G23" s="41" t="str" cm="1">
        <f t="array" ref="G23">IF(ISBLANK(D23),"","12.30")</f>
        <v/>
      </c>
      <c r="H23" s="42"/>
      <c r="I23" s="50"/>
      <c r="J23" s="5" t="str" cm="1">
        <f t="array" ref="J23">IF(AND(ISNUMBER(H23),NOT(ISERROR(H23&gt;8)),H23&gt;8),H23-8,"")</f>
        <v/>
      </c>
      <c r="K23" s="49"/>
      <c r="L23" s="46"/>
      <c r="M23" s="47"/>
      <c r="N23" s="169"/>
      <c r="O23" s="170"/>
      <c r="P23" s="17"/>
    </row>
    <row r="24" spans="1:16" ht="12.75" customHeight="1" x14ac:dyDescent="0.2">
      <c r="A24" s="36">
        <v>17</v>
      </c>
      <c r="B24" s="37"/>
      <c r="C24" s="146" t="s">
        <v>27</v>
      </c>
      <c r="D24" s="38"/>
      <c r="E24" s="39" t="str" cm="1">
        <f t="array" ref="E24">IF(ISBLANK(D24),"","12.00")</f>
        <v/>
      </c>
      <c r="F24" s="40" t="s">
        <v>27</v>
      </c>
      <c r="G24" s="41" t="str" cm="1">
        <f t="array" ref="G24">IF(ISBLANK(D24),"","12.30")</f>
        <v/>
      </c>
      <c r="H24" s="42"/>
      <c r="I24" s="50"/>
      <c r="J24" s="51" t="str" cm="1">
        <f t="array" ref="J24">IF(AND(ISNUMBER(H24),NOT(ISERROR(H24&gt;8)),H24&gt;8),H24-8,"")</f>
        <v/>
      </c>
      <c r="K24" s="49"/>
      <c r="L24" s="46"/>
      <c r="M24" s="47"/>
      <c r="N24" s="169"/>
      <c r="O24" s="170"/>
      <c r="P24" s="17"/>
    </row>
    <row r="25" spans="1:16" ht="12.75" customHeight="1" x14ac:dyDescent="0.2">
      <c r="A25" s="36">
        <v>18</v>
      </c>
      <c r="B25" s="37"/>
      <c r="C25" s="146" t="s">
        <v>27</v>
      </c>
      <c r="D25" s="38"/>
      <c r="E25" s="39" t="str" cm="1">
        <f t="array" ref="E25">IF(ISBLANK(D25),"","12.00")</f>
        <v/>
      </c>
      <c r="F25" s="40" t="s">
        <v>27</v>
      </c>
      <c r="G25" s="41" t="str" cm="1">
        <f t="array" ref="G25">IF(ISBLANK(D25),"","12.30")</f>
        <v/>
      </c>
      <c r="H25" s="42"/>
      <c r="I25" s="50"/>
      <c r="J25" s="5" t="str" cm="1">
        <f t="array" ref="J25">IF(AND(ISNUMBER(H25),NOT(ISERROR(H25&gt;8)),H25&gt;8),H25-8,"")</f>
        <v/>
      </c>
      <c r="K25" s="49"/>
      <c r="L25" s="46"/>
      <c r="M25" s="47"/>
      <c r="N25" s="169"/>
      <c r="O25" s="170"/>
      <c r="P25" s="17"/>
    </row>
    <row r="26" spans="1:16" ht="12.75" customHeight="1" x14ac:dyDescent="0.2">
      <c r="A26" s="36">
        <v>19</v>
      </c>
      <c r="B26" s="37"/>
      <c r="C26" s="146" t="s">
        <v>27</v>
      </c>
      <c r="D26" s="38"/>
      <c r="E26" s="39" t="str" cm="1">
        <f t="array" ref="E26">IF(ISBLANK(D26),"","12.00")</f>
        <v/>
      </c>
      <c r="F26" s="40" t="s">
        <v>27</v>
      </c>
      <c r="G26" s="41" t="str" cm="1">
        <f t="array" ref="G26">IF(ISBLANK(D26),"","12.30")</f>
        <v/>
      </c>
      <c r="H26" s="42"/>
      <c r="I26" s="50"/>
      <c r="J26" s="5" t="str" cm="1">
        <f t="array" ref="J26">IF(AND(ISNUMBER(H26),NOT(ISERROR(H26&gt;8)),H26&gt;8),H26-8,"")</f>
        <v/>
      </c>
      <c r="K26" s="49"/>
      <c r="L26" s="46"/>
      <c r="M26" s="47"/>
      <c r="N26" s="169"/>
      <c r="O26" s="170"/>
      <c r="P26" s="17"/>
    </row>
    <row r="27" spans="1:16" ht="12.75" customHeight="1" x14ac:dyDescent="0.2">
      <c r="A27" s="36">
        <v>20</v>
      </c>
      <c r="B27" s="37"/>
      <c r="C27" s="146" t="s">
        <v>27</v>
      </c>
      <c r="D27" s="38"/>
      <c r="E27" s="39" t="str" cm="1">
        <f t="array" ref="E27">IF(ISBLANK(D27),"","12.00")</f>
        <v/>
      </c>
      <c r="F27" s="40" t="s">
        <v>27</v>
      </c>
      <c r="G27" s="41" t="str" cm="1">
        <f t="array" ref="G27">IF(ISBLANK(D27),"","12.30")</f>
        <v/>
      </c>
      <c r="H27" s="47"/>
      <c r="I27" s="50"/>
      <c r="J27" s="5" t="str" cm="1">
        <f t="array" ref="J27">IF(AND(ISNUMBER(H27),NOT(ISERROR(H27&gt;8)),H27&gt;8),H27-8,"")</f>
        <v/>
      </c>
      <c r="K27" s="49"/>
      <c r="L27" s="46"/>
      <c r="M27" s="47"/>
      <c r="N27" s="169"/>
      <c r="O27" s="170"/>
      <c r="P27" s="17"/>
    </row>
    <row r="28" spans="1:16" ht="12.75" customHeight="1" x14ac:dyDescent="0.2">
      <c r="A28" s="36">
        <v>21</v>
      </c>
      <c r="B28" s="37"/>
      <c r="C28" s="146" t="s">
        <v>27</v>
      </c>
      <c r="D28" s="38"/>
      <c r="E28" s="39" t="str" cm="1">
        <f t="array" ref="E28">IF(ISBLANK(D28),"","12.00")</f>
        <v/>
      </c>
      <c r="F28" s="40" t="s">
        <v>27</v>
      </c>
      <c r="G28" s="41" t="str" cm="1">
        <f t="array" ref="G28">IF(ISBLANK(D28),"","12.30")</f>
        <v/>
      </c>
      <c r="H28" s="47"/>
      <c r="I28" s="50"/>
      <c r="J28" s="5" t="str" cm="1">
        <f t="array" ref="J28">IF(AND(ISNUMBER(H28),NOT(ISERROR(H28&gt;8)),H28&gt;8),H28-8,"")</f>
        <v/>
      </c>
      <c r="K28" s="49"/>
      <c r="L28" s="46"/>
      <c r="M28" s="47"/>
      <c r="N28" s="169"/>
      <c r="O28" s="170"/>
      <c r="P28" s="17"/>
    </row>
    <row r="29" spans="1:16" ht="12.75" customHeight="1" x14ac:dyDescent="0.2">
      <c r="A29" s="36">
        <v>22</v>
      </c>
      <c r="B29" s="157"/>
      <c r="C29" s="146" t="s">
        <v>27</v>
      </c>
      <c r="D29" s="38"/>
      <c r="E29" s="39" t="str" cm="1">
        <f t="array" ref="E29">IF(ISBLANK(D29),"","12.00")</f>
        <v/>
      </c>
      <c r="F29" s="40" t="s">
        <v>27</v>
      </c>
      <c r="G29" s="41" t="str" cm="1">
        <f t="array" ref="G29">IF(ISBLANK(D29),"","12.30")</f>
        <v/>
      </c>
      <c r="H29" s="47"/>
      <c r="I29" s="48"/>
      <c r="J29" s="5" t="str" cm="1">
        <f t="array" ref="J29">IF(AND(ISNUMBER(H29),NOT(ISERROR(H29&gt;8)),H29&gt;8),H29-8,"")</f>
        <v/>
      </c>
      <c r="K29" s="49"/>
      <c r="L29" s="46"/>
      <c r="M29" s="47"/>
      <c r="N29" s="169"/>
      <c r="O29" s="170"/>
      <c r="P29" s="17"/>
    </row>
    <row r="30" spans="1:16" ht="12.75" customHeight="1" x14ac:dyDescent="0.2">
      <c r="A30" s="36">
        <v>23</v>
      </c>
      <c r="B30" s="157"/>
      <c r="C30" s="146" t="s">
        <v>27</v>
      </c>
      <c r="D30" s="38"/>
      <c r="E30" s="39" t="str" cm="1">
        <f t="array" ref="E30">IF(ISBLANK(D30),"","12.00")</f>
        <v/>
      </c>
      <c r="F30" s="40" t="s">
        <v>27</v>
      </c>
      <c r="G30" s="41" t="str" cm="1">
        <f t="array" ref="G30">IF(ISBLANK(D30),"","12.30")</f>
        <v/>
      </c>
      <c r="H30" s="47"/>
      <c r="I30" s="48"/>
      <c r="J30" s="5" t="str" cm="1">
        <f t="array" ref="J30">IF(AND(ISNUMBER(H30),NOT(ISERROR(H30&gt;8)),H30&gt;8),H30-8,"")</f>
        <v/>
      </c>
      <c r="K30" s="49"/>
      <c r="L30" s="46"/>
      <c r="M30" s="47"/>
      <c r="N30" s="169"/>
      <c r="O30" s="170"/>
      <c r="P30" s="17"/>
    </row>
    <row r="31" spans="1:16" ht="12.75" customHeight="1" x14ac:dyDescent="0.2">
      <c r="A31" s="36">
        <v>24</v>
      </c>
      <c r="B31" s="157"/>
      <c r="C31" s="146" t="s">
        <v>27</v>
      </c>
      <c r="D31" s="38"/>
      <c r="E31" s="39" t="str" cm="1">
        <f t="array" ref="E31">IF(ISBLANK(D31),"","12.00")</f>
        <v/>
      </c>
      <c r="F31" s="40" t="s">
        <v>27</v>
      </c>
      <c r="G31" s="41" t="str" cm="1">
        <f t="array" ref="G31">IF(ISBLANK(D31),"","12.30")</f>
        <v/>
      </c>
      <c r="H31" s="47"/>
      <c r="I31" s="50"/>
      <c r="J31" s="5" t="str" cm="1">
        <f t="array" ref="J31">IF(AND(ISNUMBER(H31),NOT(ISERROR(H31&gt;8)),H31&gt;8),H31-8,"")</f>
        <v/>
      </c>
      <c r="K31" s="49"/>
      <c r="L31" s="46"/>
      <c r="M31" s="47"/>
      <c r="N31" s="169"/>
      <c r="O31" s="170"/>
      <c r="P31" s="17"/>
    </row>
    <row r="32" spans="1:16" ht="12.75" customHeight="1" x14ac:dyDescent="0.2">
      <c r="A32" s="36">
        <v>25</v>
      </c>
      <c r="B32" s="157"/>
      <c r="C32" s="146" t="s">
        <v>27</v>
      </c>
      <c r="D32" s="38"/>
      <c r="E32" s="39" t="str" cm="1">
        <f t="array" ref="E32">IF(ISBLANK(D32),"","12.00")</f>
        <v/>
      </c>
      <c r="F32" s="40" t="s">
        <v>27</v>
      </c>
      <c r="G32" s="41" t="str" cm="1">
        <f t="array" ref="G32">IF(ISBLANK(D32),"","12.30")</f>
        <v/>
      </c>
      <c r="H32" s="47"/>
      <c r="I32" s="50"/>
      <c r="J32" s="5" t="str" cm="1">
        <f t="array" ref="J32">IF(AND(ISNUMBER(H32),NOT(ISERROR(H32&gt;8)),H32&gt;8),H32-8,"")</f>
        <v/>
      </c>
      <c r="K32" s="49"/>
      <c r="L32" s="46"/>
      <c r="M32" s="47"/>
      <c r="N32" s="169"/>
      <c r="O32" s="170"/>
      <c r="P32" s="17"/>
    </row>
    <row r="33" spans="1:16" ht="12.75" customHeight="1" x14ac:dyDescent="0.2">
      <c r="A33" s="36">
        <v>26</v>
      </c>
      <c r="B33" s="157"/>
      <c r="C33" s="146" t="s">
        <v>27</v>
      </c>
      <c r="D33" s="38"/>
      <c r="E33" s="39" t="str" cm="1">
        <f t="array" ref="E33">IF(ISBLANK(D33),"","12.00")</f>
        <v/>
      </c>
      <c r="F33" s="40" t="s">
        <v>27</v>
      </c>
      <c r="G33" s="41" t="str" cm="1">
        <f t="array" ref="G33">IF(ISBLANK(D33),"","12.30")</f>
        <v/>
      </c>
      <c r="H33" s="47"/>
      <c r="I33" s="50"/>
      <c r="J33" s="5" t="str" cm="1">
        <f t="array" ref="J33">IF(AND(ISNUMBER(H33),NOT(ISERROR(H33&gt;8)),H33&gt;8),H33-8,"")</f>
        <v/>
      </c>
      <c r="K33" s="49"/>
      <c r="L33" s="46"/>
      <c r="M33" s="47"/>
      <c r="N33" s="169"/>
      <c r="O33" s="170"/>
      <c r="P33" s="17"/>
    </row>
    <row r="34" spans="1:16" ht="12.75" customHeight="1" x14ac:dyDescent="0.2">
      <c r="A34" s="36">
        <v>27</v>
      </c>
      <c r="B34" s="37"/>
      <c r="C34" s="146" t="s">
        <v>27</v>
      </c>
      <c r="D34" s="38"/>
      <c r="E34" s="39" t="str" cm="1">
        <f t="array" ref="E34">IF(ISBLANK(D34),"","12.00")</f>
        <v/>
      </c>
      <c r="F34" s="40" t="s">
        <v>27</v>
      </c>
      <c r="G34" s="41" t="str" cm="1">
        <f t="array" ref="G34">IF(ISBLANK(D34),"","12.30")</f>
        <v/>
      </c>
      <c r="H34" s="47"/>
      <c r="I34" s="50"/>
      <c r="J34" s="5" t="str" cm="1">
        <f t="array" ref="J34">IF(AND(ISNUMBER(H34),NOT(ISERROR(H34&gt;8)),H34&gt;8),H34-8,"")</f>
        <v/>
      </c>
      <c r="K34" s="49"/>
      <c r="L34" s="46"/>
      <c r="M34" s="47"/>
      <c r="N34" s="169"/>
      <c r="O34" s="170"/>
      <c r="P34" s="17"/>
    </row>
    <row r="35" spans="1:16" ht="12.75" customHeight="1" x14ac:dyDescent="0.2">
      <c r="A35" s="36">
        <v>28</v>
      </c>
      <c r="B35" s="37"/>
      <c r="C35" s="146" t="s">
        <v>27</v>
      </c>
      <c r="D35" s="38"/>
      <c r="E35" s="39" t="str" cm="1">
        <f t="array" ref="E35">IF(ISBLANK(D35),"","12.00")</f>
        <v/>
      </c>
      <c r="F35" s="40" t="s">
        <v>27</v>
      </c>
      <c r="G35" s="41" t="str" cm="1">
        <f t="array" ref="G35">IF(ISBLANK(D35),"","12.30")</f>
        <v/>
      </c>
      <c r="H35" s="47"/>
      <c r="I35" s="50"/>
      <c r="J35" s="5" t="str" cm="1">
        <f t="array" ref="J35">IF(AND(ISNUMBER(H35),NOT(ISERROR(H35&gt;8)),H35&gt;8),H35-8,"")</f>
        <v/>
      </c>
      <c r="K35" s="49"/>
      <c r="L35" s="46"/>
      <c r="M35" s="47"/>
      <c r="N35" s="169"/>
      <c r="O35" s="170"/>
      <c r="P35" s="17"/>
    </row>
    <row r="36" spans="1:16" ht="12.75" customHeight="1" x14ac:dyDescent="0.2">
      <c r="A36" s="36">
        <v>29</v>
      </c>
      <c r="B36" s="157"/>
      <c r="C36" s="146" t="s">
        <v>27</v>
      </c>
      <c r="D36" s="38"/>
      <c r="E36" s="39" t="str" cm="1">
        <f t="array" ref="E36">IF(ISBLANK(D36),"","12.00")</f>
        <v/>
      </c>
      <c r="F36" s="40" t="s">
        <v>27</v>
      </c>
      <c r="G36" s="41" t="str" cm="1">
        <f t="array" ref="G36">IF(ISBLANK(D36),"","12.30")</f>
        <v/>
      </c>
      <c r="H36" s="47"/>
      <c r="I36" s="48"/>
      <c r="J36" s="5" t="str" cm="1">
        <f t="array" ref="J36">IF(AND(ISNUMBER(H36),NOT(ISERROR(H36&gt;8)),H36&gt;8),H36-8,"")</f>
        <v/>
      </c>
      <c r="K36" s="49"/>
      <c r="L36" s="46"/>
      <c r="M36" s="47"/>
      <c r="N36" s="169"/>
      <c r="O36" s="170"/>
      <c r="P36" s="17"/>
    </row>
    <row r="37" spans="1:16" ht="12.75" customHeight="1" x14ac:dyDescent="0.2">
      <c r="A37" s="36">
        <v>30</v>
      </c>
      <c r="B37" s="157"/>
      <c r="C37" s="146" t="s">
        <v>27</v>
      </c>
      <c r="D37" s="38"/>
      <c r="E37" s="39" t="str" cm="1">
        <f t="array" ref="E37">IF(ISBLANK(D37),"","12.00")</f>
        <v/>
      </c>
      <c r="F37" s="40" t="s">
        <v>27</v>
      </c>
      <c r="G37" s="41" t="str" cm="1">
        <f t="array" ref="G37">IF(ISBLANK(D37),"","12.30")</f>
        <v/>
      </c>
      <c r="H37" s="47"/>
      <c r="I37" s="48"/>
      <c r="J37" s="5" t="str" cm="1">
        <f t="array" ref="J37">IF(AND(ISNUMBER(H37),NOT(ISERROR(H37&gt;8)),H37&gt;8),H37-8,"")</f>
        <v/>
      </c>
      <c r="K37" s="49"/>
      <c r="L37" s="46"/>
      <c r="M37" s="47"/>
      <c r="N37" s="169"/>
      <c r="O37" s="170"/>
      <c r="P37" s="17"/>
    </row>
    <row r="38" spans="1:16" ht="12.75" customHeight="1" x14ac:dyDescent="0.2">
      <c r="A38" s="36">
        <v>31</v>
      </c>
      <c r="B38" s="157"/>
      <c r="C38" s="146" t="s">
        <v>27</v>
      </c>
      <c r="D38" s="41"/>
      <c r="E38" s="39" t="str" cm="1">
        <f t="array" ref="E38">IF(ISBLANK(D38),"","12.00")</f>
        <v/>
      </c>
      <c r="F38" s="148" t="s">
        <v>27</v>
      </c>
      <c r="G38" s="41" t="str" cm="1">
        <f t="array" ref="G38">IF(ISBLANK(D38),"","12.30")</f>
        <v/>
      </c>
      <c r="H38" s="47"/>
      <c r="I38" s="53"/>
      <c r="J38" s="54" t="str" cm="1">
        <f t="array" ref="J38">IF(AND(ISNUMBER(H38),NOT(ISERROR(H38&gt;8)),H38&gt;8),H38-8,"")</f>
        <v/>
      </c>
      <c r="K38" s="55"/>
      <c r="L38" s="46"/>
      <c r="M38" s="47"/>
      <c r="N38" s="169"/>
      <c r="O38" s="170"/>
      <c r="P38" s="17"/>
    </row>
    <row r="39" spans="1:16" ht="12.75" customHeight="1" x14ac:dyDescent="0.2">
      <c r="A39" s="56" t="s">
        <v>28</v>
      </c>
      <c r="B39" s="57"/>
      <c r="C39" s="57"/>
      <c r="D39" s="57"/>
      <c r="E39" s="150"/>
      <c r="F39" s="151" t="s">
        <v>29</v>
      </c>
      <c r="G39" s="152"/>
      <c r="H39" s="147" cm="1">
        <f t="array" ref="H39">SUM(H8:H38)</f>
        <v>0</v>
      </c>
      <c r="I39" s="42" cm="1">
        <f t="array" ref="I39">SUM(I8:I38)</f>
        <v>0</v>
      </c>
      <c r="J39" s="42" cm="1">
        <f t="array" ref="J39">SUM(J8:J38)</f>
        <v>0</v>
      </c>
      <c r="K39" s="42" cm="1">
        <f t="array" ref="K39">SUM(K8:K38)</f>
        <v>0</v>
      </c>
      <c r="L39" s="42" cm="1">
        <f t="array" ref="L39">SUM(L8:L38)</f>
        <v>0</v>
      </c>
      <c r="M39" s="58" t="s">
        <v>29</v>
      </c>
      <c r="N39" s="173" t="s">
        <v>29</v>
      </c>
      <c r="O39" s="170"/>
      <c r="P39" s="17"/>
    </row>
    <row r="40" spans="1:16" ht="12.75" customHeight="1" x14ac:dyDescent="0.2">
      <c r="A40" s="59"/>
      <c r="B40" s="60"/>
      <c r="C40" s="60"/>
      <c r="D40" s="60"/>
      <c r="E40" s="149"/>
      <c r="F40" s="149"/>
      <c r="G40" s="149"/>
      <c r="H40" s="60"/>
      <c r="I40" s="60"/>
      <c r="J40" s="60"/>
      <c r="K40" s="60"/>
      <c r="L40" s="61"/>
      <c r="M40" s="62"/>
      <c r="N40" s="62"/>
      <c r="O40" s="62"/>
      <c r="P40" s="2"/>
    </row>
    <row r="41" spans="1:16" ht="12.75" customHeight="1" x14ac:dyDescent="0.2">
      <c r="A41" s="63" t="s">
        <v>30</v>
      </c>
      <c r="B41" s="64"/>
      <c r="C41" s="64"/>
      <c r="D41" s="64"/>
      <c r="E41" s="64"/>
      <c r="F41" s="64"/>
      <c r="G41" s="64"/>
      <c r="H41" s="64"/>
      <c r="I41" s="64"/>
      <c r="J41" s="64"/>
      <c r="K41" s="65" t="s">
        <v>17</v>
      </c>
      <c r="L41" s="66"/>
      <c r="M41" s="2"/>
      <c r="N41" s="2"/>
      <c r="O41" s="2"/>
      <c r="P41" s="2"/>
    </row>
    <row r="42" spans="1:16" ht="12.75" customHeight="1" x14ac:dyDescent="0.2">
      <c r="A42" s="67" t="s">
        <v>31</v>
      </c>
      <c r="B42" s="68"/>
      <c r="C42" s="68"/>
      <c r="D42" s="68"/>
      <c r="E42" s="68"/>
      <c r="F42" s="68"/>
      <c r="G42" s="68"/>
      <c r="H42" s="69"/>
      <c r="I42" s="69"/>
      <c r="J42" s="70"/>
      <c r="K42" s="71" cm="1">
        <f t="array" ref="K42">H39-J39</f>
        <v>0</v>
      </c>
      <c r="L42" s="72"/>
      <c r="M42" s="73" t="s">
        <v>32</v>
      </c>
      <c r="N42" s="2"/>
      <c r="O42" s="2"/>
      <c r="P42" s="2"/>
    </row>
    <row r="43" spans="1:16" ht="12.75" customHeight="1" x14ac:dyDescent="0.2">
      <c r="A43" s="74" t="s">
        <v>33</v>
      </c>
      <c r="B43" s="75"/>
      <c r="C43" s="75"/>
      <c r="D43" s="75"/>
      <c r="E43" s="75"/>
      <c r="F43" s="75"/>
      <c r="G43" s="75"/>
      <c r="H43" s="76"/>
      <c r="I43" s="76"/>
      <c r="J43" s="77"/>
      <c r="K43" s="78" cm="1">
        <f t="array" ref="K43">J39</f>
        <v>0</v>
      </c>
      <c r="L43" s="72"/>
      <c r="M43" s="73" t="s">
        <v>34</v>
      </c>
      <c r="N43" s="2"/>
      <c r="O43" s="2"/>
      <c r="P43" s="2"/>
    </row>
    <row r="44" spans="1:16" ht="12.75" customHeight="1" x14ac:dyDescent="0.2">
      <c r="A44" s="79" t="s">
        <v>35</v>
      </c>
      <c r="B44" s="80"/>
      <c r="C44" s="80"/>
      <c r="D44" s="80"/>
      <c r="E44" s="80"/>
      <c r="F44" s="80"/>
      <c r="G44" s="80"/>
      <c r="H44" s="81"/>
      <c r="I44" s="81"/>
      <c r="J44" s="82"/>
      <c r="K44" s="83" cm="1">
        <f t="array" ref="K44">K39</f>
        <v>0</v>
      </c>
      <c r="L44" s="72"/>
      <c r="M44" s="73" t="s">
        <v>36</v>
      </c>
      <c r="N44" s="2"/>
      <c r="O44" s="2"/>
      <c r="P44" s="2"/>
    </row>
    <row r="45" spans="1:16" ht="12.75" customHeight="1" x14ac:dyDescent="0.2">
      <c r="A45" s="84" t="s">
        <v>37</v>
      </c>
      <c r="B45" s="85"/>
      <c r="C45" s="85"/>
      <c r="D45" s="85"/>
      <c r="E45" s="85"/>
      <c r="F45" s="85"/>
      <c r="G45" s="85"/>
      <c r="H45" s="86"/>
      <c r="I45" s="86"/>
      <c r="J45" s="87"/>
      <c r="K45" s="88" cm="1">
        <f t="array" ref="K45">H39</f>
        <v>0</v>
      </c>
      <c r="L45" s="72"/>
      <c r="M45" s="73" t="s">
        <v>38</v>
      </c>
      <c r="N45" s="2"/>
      <c r="O45" s="2"/>
      <c r="P45" s="2"/>
    </row>
    <row r="46" spans="1:16" ht="12.75" customHeight="1" x14ac:dyDescent="0.2">
      <c r="A46" s="89"/>
      <c r="B46" s="90"/>
      <c r="C46" s="90"/>
      <c r="D46" s="90"/>
      <c r="E46" s="90"/>
      <c r="F46" s="90"/>
      <c r="G46" s="90"/>
      <c r="H46" s="90"/>
      <c r="I46" s="90"/>
      <c r="J46" s="90"/>
      <c r="K46" s="90"/>
      <c r="L46" s="66"/>
      <c r="M46" s="73" t="s">
        <v>39</v>
      </c>
      <c r="N46" s="2"/>
      <c r="O46" s="2"/>
      <c r="P46" s="2"/>
    </row>
    <row r="47" spans="1:16" ht="12.75" customHeight="1" x14ac:dyDescent="0.2">
      <c r="A47" s="91" t="s">
        <v>40</v>
      </c>
      <c r="B47" s="92"/>
      <c r="C47" s="92"/>
      <c r="D47" s="92"/>
      <c r="E47" s="92"/>
      <c r="F47" s="92"/>
      <c r="G47" s="92"/>
      <c r="H47" s="64"/>
      <c r="I47" s="65" t="s">
        <v>41</v>
      </c>
      <c r="J47" s="65" t="s">
        <v>42</v>
      </c>
      <c r="K47" s="65" t="s">
        <v>17</v>
      </c>
      <c r="L47" s="66"/>
      <c r="M47" s="73" t="s">
        <v>43</v>
      </c>
      <c r="N47" s="2"/>
      <c r="O47" s="2"/>
      <c r="P47" s="2"/>
    </row>
    <row r="48" spans="1:16" ht="12.75" customHeight="1" x14ac:dyDescent="0.2">
      <c r="A48" s="67" t="s">
        <v>44</v>
      </c>
      <c r="B48" s="68"/>
      <c r="C48" s="68"/>
      <c r="D48" s="68"/>
      <c r="E48" s="93"/>
      <c r="F48" s="93"/>
      <c r="G48" s="93"/>
      <c r="H48" s="93"/>
      <c r="I48" s="94" t="s">
        <v>29</v>
      </c>
      <c r="J48" s="95" cm="1">
        <f t="array" ref="J48">COUNTIF(H8:H38,"&gt;0")</f>
        <v>0</v>
      </c>
      <c r="K48" s="96" cm="1">
        <f t="array" ref="K48">K42</f>
        <v>0</v>
      </c>
      <c r="L48" s="72"/>
      <c r="M48" s="73" t="s">
        <v>45</v>
      </c>
      <c r="N48" s="2"/>
      <c r="O48" s="2"/>
      <c r="P48" s="2"/>
    </row>
    <row r="49" spans="1:16" ht="12.75" customHeight="1" x14ac:dyDescent="0.2">
      <c r="A49" s="74" t="s">
        <v>46</v>
      </c>
      <c r="B49" s="75"/>
      <c r="C49" s="75"/>
      <c r="D49" s="75"/>
      <c r="E49" s="97"/>
      <c r="F49" s="97"/>
      <c r="G49" s="97"/>
      <c r="H49" s="97"/>
      <c r="I49" s="98" t="s">
        <v>29</v>
      </c>
      <c r="J49" s="99"/>
      <c r="K49" s="100" cm="1">
        <f t="array" ref="K49">I39</f>
        <v>0</v>
      </c>
      <c r="L49" s="72"/>
      <c r="M49" s="73" t="s">
        <v>47</v>
      </c>
      <c r="N49" s="2"/>
      <c r="O49" s="2"/>
      <c r="P49" s="2"/>
    </row>
    <row r="50" spans="1:16" ht="12.75" customHeight="1" x14ac:dyDescent="0.2">
      <c r="A50" s="79" t="s">
        <v>48</v>
      </c>
      <c r="B50" s="80"/>
      <c r="C50" s="80"/>
      <c r="D50" s="80"/>
      <c r="E50" s="101"/>
      <c r="F50" s="101"/>
      <c r="G50" s="101"/>
      <c r="H50" s="101"/>
      <c r="I50" s="102" t="s">
        <v>29</v>
      </c>
      <c r="J50" s="103" t="s">
        <v>29</v>
      </c>
      <c r="K50" s="104" cm="1">
        <f t="array" ref="K50">K39</f>
        <v>0</v>
      </c>
      <c r="L50" s="72"/>
      <c r="M50" s="73" t="s">
        <v>49</v>
      </c>
      <c r="N50" s="2"/>
      <c r="O50" s="2"/>
      <c r="P50" s="2"/>
    </row>
    <row r="51" spans="1:16" ht="12.75" customHeight="1" x14ac:dyDescent="0.2">
      <c r="A51" s="105" t="s">
        <v>50</v>
      </c>
      <c r="B51" s="85"/>
      <c r="C51" s="85"/>
      <c r="D51" s="85"/>
      <c r="E51" s="106"/>
      <c r="F51" s="106"/>
      <c r="G51" s="106"/>
      <c r="H51" s="106"/>
      <c r="I51" s="107" t="s">
        <v>29</v>
      </c>
      <c r="J51" s="108" cm="1">
        <f t="array" ref="J51">J48+J49</f>
        <v>0</v>
      </c>
      <c r="K51" s="109" cm="1">
        <f t="array" ref="K51">SUM(K48:K50)</f>
        <v>0</v>
      </c>
      <c r="L51" s="72"/>
      <c r="M51" s="73" t="s">
        <v>51</v>
      </c>
      <c r="N51" s="2"/>
      <c r="O51" s="2"/>
      <c r="P51" s="2"/>
    </row>
    <row r="52" spans="1:16" ht="12.75" customHeight="1" x14ac:dyDescent="0.2">
      <c r="A52" s="67" t="s">
        <v>52</v>
      </c>
      <c r="B52" s="68"/>
      <c r="C52" s="68"/>
      <c r="D52" s="68"/>
      <c r="E52" s="93"/>
      <c r="F52" s="93"/>
      <c r="G52" s="93"/>
      <c r="H52" s="93"/>
      <c r="I52" s="94" t="s">
        <v>29</v>
      </c>
      <c r="J52" s="95">
        <v>0</v>
      </c>
      <c r="K52" s="96">
        <v>0</v>
      </c>
      <c r="L52" s="72"/>
      <c r="M52" s="7"/>
      <c r="N52" s="7"/>
      <c r="O52" s="7"/>
      <c r="P52" s="2"/>
    </row>
    <row r="53" spans="1:16" ht="12.75" customHeight="1" x14ac:dyDescent="0.2">
      <c r="A53" s="174" t="s">
        <v>53</v>
      </c>
      <c r="B53" s="175"/>
      <c r="C53" s="170"/>
      <c r="D53" s="170"/>
      <c r="E53" s="170"/>
      <c r="F53" s="170"/>
      <c r="G53" s="111"/>
      <c r="H53" s="176"/>
      <c r="I53" s="175"/>
      <c r="J53" s="112" cm="1">
        <f t="array" ref="J53">COUNTIF(B8:B38,"=D")</f>
        <v>0</v>
      </c>
      <c r="K53" s="100" cm="1">
        <f t="array" ref="K53">J53*8</f>
        <v>0</v>
      </c>
      <c r="L53" s="113"/>
      <c r="M53" s="114" t="s">
        <v>54</v>
      </c>
      <c r="N53" s="115" t="s">
        <v>55</v>
      </c>
      <c r="O53" s="116" t="s">
        <v>56</v>
      </c>
      <c r="P53" s="17"/>
    </row>
    <row r="54" spans="1:16" ht="12.75" customHeight="1" x14ac:dyDescent="0.2">
      <c r="A54" s="174" t="s">
        <v>57</v>
      </c>
      <c r="B54" s="175"/>
      <c r="C54" s="170"/>
      <c r="D54" s="170"/>
      <c r="E54" s="170"/>
      <c r="F54" s="170"/>
      <c r="G54" s="111"/>
      <c r="H54" s="117"/>
      <c r="I54" s="118"/>
      <c r="J54" s="119">
        <v>0</v>
      </c>
      <c r="K54" s="100" cm="1">
        <f t="array" ref="K54">J54*8</f>
        <v>0</v>
      </c>
      <c r="L54" s="113"/>
      <c r="M54" s="114" t="s">
        <v>58</v>
      </c>
      <c r="N54" s="120">
        <v>0</v>
      </c>
      <c r="O54" s="121" cm="1">
        <f t="array" ref="O54">N54*8</f>
        <v>0</v>
      </c>
      <c r="P54" s="17"/>
    </row>
    <row r="55" spans="1:16" ht="12.75" customHeight="1" x14ac:dyDescent="0.2">
      <c r="A55" s="174" t="s">
        <v>59</v>
      </c>
      <c r="B55" s="175"/>
      <c r="C55" s="170"/>
      <c r="D55" s="170"/>
      <c r="E55" s="170"/>
      <c r="F55" s="170"/>
      <c r="G55" s="111"/>
      <c r="H55" s="117"/>
      <c r="I55" s="118"/>
      <c r="J55" s="99"/>
      <c r="K55" s="122"/>
      <c r="L55" s="113"/>
      <c r="M55" s="114" t="s">
        <v>60</v>
      </c>
      <c r="N55" s="123" cm="1">
        <f t="array" ref="N55">J54</f>
        <v>0</v>
      </c>
      <c r="O55" s="124" cm="1">
        <f t="array" ref="O55">K54</f>
        <v>0</v>
      </c>
      <c r="P55" s="17"/>
    </row>
    <row r="56" spans="1:16" ht="12.75" customHeight="1" x14ac:dyDescent="0.2">
      <c r="A56" s="174" t="s">
        <v>61</v>
      </c>
      <c r="B56" s="175"/>
      <c r="C56" s="170"/>
      <c r="D56" s="170"/>
      <c r="E56" s="170"/>
      <c r="F56" s="170"/>
      <c r="G56" s="111"/>
      <c r="H56" s="117"/>
      <c r="I56" s="118"/>
      <c r="J56" s="99"/>
      <c r="K56" s="122"/>
      <c r="L56" s="113"/>
      <c r="M56" s="114" t="s">
        <v>8</v>
      </c>
      <c r="N56" s="125" cm="1">
        <f t="array" ref="N56">SUM(N54:N55)</f>
        <v>0</v>
      </c>
      <c r="O56" s="126" cm="1">
        <f t="array" ref="O56">SUM(O54:O55)</f>
        <v>0</v>
      </c>
      <c r="P56" s="17"/>
    </row>
    <row r="57" spans="1:16" ht="12.75" customHeight="1" x14ac:dyDescent="0.2">
      <c r="A57" s="174" t="s">
        <v>62</v>
      </c>
      <c r="B57" s="175"/>
      <c r="C57" s="170"/>
      <c r="D57" s="170"/>
      <c r="E57" s="170"/>
      <c r="F57" s="170"/>
      <c r="G57" s="111"/>
      <c r="H57" s="117"/>
      <c r="I57" s="118"/>
      <c r="J57" s="99"/>
      <c r="K57" s="122"/>
      <c r="L57" s="72"/>
      <c r="M57" s="62"/>
      <c r="N57" s="62"/>
      <c r="O57" s="62"/>
      <c r="P57" s="2"/>
    </row>
    <row r="58" spans="1:16" ht="12.75" customHeight="1" x14ac:dyDescent="0.2">
      <c r="A58" s="177" t="s">
        <v>8</v>
      </c>
      <c r="B58" s="178"/>
      <c r="C58" s="178"/>
      <c r="D58" s="178"/>
      <c r="E58" s="178"/>
      <c r="F58" s="178"/>
      <c r="G58" s="128"/>
      <c r="H58" s="128"/>
      <c r="I58" s="129" t="s">
        <v>29</v>
      </c>
      <c r="J58" s="130" cm="1">
        <f t="array" ref="J58">SUM(J51:J57)</f>
        <v>0</v>
      </c>
      <c r="K58" s="104" cm="1">
        <f t="array" ref="K58">SUM(K51:K57)</f>
        <v>0</v>
      </c>
      <c r="L58" s="72"/>
      <c r="M58" s="2"/>
      <c r="N58" s="2"/>
      <c r="O58" s="2"/>
      <c r="P58" s="2"/>
    </row>
    <row r="59" spans="1:16" ht="12.75" customHeight="1" x14ac:dyDescent="0.2">
      <c r="A59" s="131"/>
      <c r="B59" s="131"/>
      <c r="C59" s="131"/>
      <c r="D59" s="131"/>
      <c r="E59" s="131"/>
      <c r="F59" s="131"/>
      <c r="G59" s="131"/>
      <c r="H59" s="131"/>
      <c r="I59" s="131"/>
      <c r="J59" s="132"/>
      <c r="K59" s="132"/>
      <c r="L59" s="2"/>
      <c r="M59" s="2"/>
      <c r="N59" s="2"/>
      <c r="O59" s="2"/>
      <c r="P59" s="2"/>
    </row>
    <row r="60" spans="1:16" ht="12.75" customHeight="1" x14ac:dyDescent="0.2">
      <c r="A60" s="133" t="s">
        <v>63</v>
      </c>
      <c r="B60" s="134"/>
      <c r="C60" s="134"/>
      <c r="D60" s="134"/>
      <c r="E60" s="134"/>
      <c r="F60" s="134"/>
      <c r="G60" s="134"/>
      <c r="H60" s="134"/>
      <c r="I60" s="134"/>
      <c r="J60" s="135"/>
      <c r="K60" s="136" t="s">
        <v>17</v>
      </c>
      <c r="L60" s="2"/>
      <c r="M60" s="2"/>
      <c r="N60" s="2"/>
      <c r="O60" s="2"/>
      <c r="P60" s="2"/>
    </row>
    <row r="61" spans="1:16" ht="12.75" customHeight="1" x14ac:dyDescent="0.2">
      <c r="A61" s="137" t="s">
        <v>64</v>
      </c>
      <c r="B61" s="138"/>
      <c r="C61" s="138"/>
      <c r="D61" s="138"/>
      <c r="E61" s="139"/>
      <c r="F61" s="139"/>
      <c r="G61" s="139"/>
      <c r="H61" s="139"/>
      <c r="I61" s="139"/>
      <c r="J61" s="140"/>
      <c r="K61" s="96">
        <v>0</v>
      </c>
      <c r="L61" s="72"/>
      <c r="M61" s="2"/>
      <c r="N61" s="2"/>
      <c r="O61" s="2"/>
      <c r="P61" s="2"/>
    </row>
    <row r="62" spans="1:16" ht="12.75" customHeight="1" x14ac:dyDescent="0.2">
      <c r="A62" s="110" t="s">
        <v>65</v>
      </c>
      <c r="B62" s="141"/>
      <c r="C62" s="141"/>
      <c r="D62" s="141"/>
      <c r="E62" s="117"/>
      <c r="F62" s="117"/>
      <c r="G62" s="117"/>
      <c r="H62" s="117"/>
      <c r="I62" s="117"/>
      <c r="J62" s="118"/>
      <c r="K62" s="100" cm="1">
        <f t="array" ref="K62">K49</f>
        <v>0</v>
      </c>
      <c r="L62" s="72"/>
      <c r="M62" s="2"/>
      <c r="N62" s="2"/>
      <c r="O62" s="2"/>
      <c r="P62" s="2"/>
    </row>
    <row r="63" spans="1:16" ht="12" customHeight="1" x14ac:dyDescent="0.2">
      <c r="A63" s="110" t="s">
        <v>66</v>
      </c>
      <c r="B63" s="141"/>
      <c r="C63" s="141"/>
      <c r="D63" s="141"/>
      <c r="E63" s="117"/>
      <c r="F63" s="117"/>
      <c r="G63" s="117"/>
      <c r="H63" s="117"/>
      <c r="I63" s="117"/>
      <c r="J63" s="118"/>
      <c r="K63" s="100" cm="1">
        <f t="array" ref="K63">K43</f>
        <v>0</v>
      </c>
      <c r="L63" s="72"/>
      <c r="M63" s="73" t="s">
        <v>67</v>
      </c>
      <c r="N63" s="142"/>
      <c r="O63" s="142"/>
      <c r="P63" s="2"/>
    </row>
    <row r="64" spans="1:16" ht="12" customHeight="1" x14ac:dyDescent="0.2">
      <c r="A64" s="127" t="s">
        <v>68</v>
      </c>
      <c r="B64" s="143"/>
      <c r="C64" s="143"/>
      <c r="D64" s="143"/>
      <c r="E64" s="128"/>
      <c r="F64" s="128"/>
      <c r="G64" s="128"/>
      <c r="H64" s="128"/>
      <c r="I64" s="128"/>
      <c r="J64" s="144"/>
      <c r="K64" s="104" cm="1">
        <f t="array" ref="K64">K61+K63-K62</f>
        <v>0</v>
      </c>
      <c r="L64" s="72"/>
      <c r="M64" s="73" t="s">
        <v>69</v>
      </c>
      <c r="N64" s="142"/>
      <c r="O64" s="142"/>
      <c r="P64" s="2"/>
    </row>
    <row r="65" spans="1:16" ht="12" customHeight="1" x14ac:dyDescent="0.2">
      <c r="A65" s="131"/>
      <c r="B65" s="131"/>
      <c r="C65" s="131"/>
      <c r="D65" s="131"/>
      <c r="E65" s="131"/>
      <c r="F65" s="131"/>
      <c r="G65" s="131"/>
      <c r="H65" s="131"/>
      <c r="I65" s="145"/>
      <c r="J65" s="145"/>
      <c r="K65" s="145"/>
      <c r="L65" s="142"/>
      <c r="M65" s="2"/>
      <c r="N65" s="2"/>
      <c r="O65" s="2"/>
      <c r="P65" s="142"/>
    </row>
  </sheetData>
  <mergeCells count="49">
    <mergeCell ref="L3:N3"/>
    <mergeCell ref="L2:M2"/>
    <mergeCell ref="A2:G2"/>
    <mergeCell ref="F3:I3"/>
    <mergeCell ref="N36:O36"/>
    <mergeCell ref="N13:O13"/>
    <mergeCell ref="N20:O20"/>
    <mergeCell ref="N8:O8"/>
    <mergeCell ref="N14:O14"/>
    <mergeCell ref="N18:O18"/>
    <mergeCell ref="N17:O17"/>
    <mergeCell ref="N16:O16"/>
    <mergeCell ref="N15:O15"/>
    <mergeCell ref="N35:O35"/>
    <mergeCell ref="N30:O30"/>
    <mergeCell ref="N31:O31"/>
    <mergeCell ref="A54:F54"/>
    <mergeCell ref="A55:F55"/>
    <mergeCell ref="A56:F56"/>
    <mergeCell ref="A57:F57"/>
    <mergeCell ref="A58:F58"/>
    <mergeCell ref="N37:O37"/>
    <mergeCell ref="N38:O38"/>
    <mergeCell ref="N39:O39"/>
    <mergeCell ref="A53:F53"/>
    <mergeCell ref="H53:I53"/>
    <mergeCell ref="N32:O32"/>
    <mergeCell ref="N33:O33"/>
    <mergeCell ref="N34:O34"/>
    <mergeCell ref="N25:O25"/>
    <mergeCell ref="N26:O26"/>
    <mergeCell ref="N27:O27"/>
    <mergeCell ref="N28:O28"/>
    <mergeCell ref="N29:O29"/>
    <mergeCell ref="N19:O19"/>
    <mergeCell ref="N21:O21"/>
    <mergeCell ref="N22:O22"/>
    <mergeCell ref="N23:O23"/>
    <mergeCell ref="N24:O24"/>
    <mergeCell ref="E5:G6"/>
    <mergeCell ref="N9:O9"/>
    <mergeCell ref="N10:O10"/>
    <mergeCell ref="N11:O11"/>
    <mergeCell ref="N12:O12"/>
    <mergeCell ref="B5:D6"/>
    <mergeCell ref="B7:D7"/>
    <mergeCell ref="B4:D4"/>
    <mergeCell ref="B1:D1"/>
    <mergeCell ref="A3:D3"/>
  </mergeCells>
  <pageMargins left="0.59055100000000005" right="0.19685" top="0.59055100000000005" bottom="0" header="0.11811000000000001" footer="0.11811000000000001"/>
  <pageSetup scale="85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evid.PD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Třetina David</cp:lastModifiedBy>
  <dcterms:modified xsi:type="dcterms:W3CDTF">2026-01-29T10:39:35Z</dcterms:modified>
</cp:coreProperties>
</file>